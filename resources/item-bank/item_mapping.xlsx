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tem_variable_lookup" sheetId="1" r:id="rId4"/>
    <sheet state="visible" name="S4_vub" sheetId="2" r:id="rId5"/>
    <sheet state="visible" name="S5_validation" sheetId="3" r:id="rId6"/>
  </sheets>
  <definedNames>
    <definedName localSheetId="0" name="ExternalData_1">item_variable_lookup!$A$1:$I$203</definedName>
    <definedName hidden="1" localSheetId="0" name="_xlnm._FilterDatabase">item_variable_lookup!$A$1:$P$145</definedName>
  </definedNames>
  <calcPr/>
  <extLst>
    <ext uri="GoogleSheetsCustomDataVersion2">
      <go:sheetsCustomData xmlns:go="http://customooxmlschemas.google.com/" r:id="rId7" roundtripDataChecksum="HEYkM7JSWXFaQNTA8ei1aFZl35Ha0jMQY5mO49KH00g="/>
    </ext>
  </extLst>
</workbook>
</file>

<file path=xl/sharedStrings.xml><?xml version="1.0" encoding="utf-8"?>
<sst xmlns="http://schemas.openxmlformats.org/spreadsheetml/2006/main" count="2961" uniqueCount="1149">
  <si>
    <t>item_label</t>
  </si>
  <si>
    <t>item_label_v2</t>
  </si>
  <si>
    <t>item_label_v3</t>
  </si>
  <si>
    <t>item_label_social influence</t>
  </si>
  <si>
    <t>S1</t>
  </si>
  <si>
    <t>S1_basevars</t>
  </si>
  <si>
    <t>S2</t>
  </si>
  <si>
    <t>S2_rename</t>
  </si>
  <si>
    <t>S3</t>
  </si>
  <si>
    <t>S4_vub</t>
  </si>
  <si>
    <t>S5_validation</t>
  </si>
  <si>
    <t>S5_validation_rename</t>
  </si>
  <si>
    <t>scale</t>
  </si>
  <si>
    <t>S1_formative_l1</t>
  </si>
  <si>
    <t>S1_formative_l2</t>
  </si>
  <si>
    <t>Notes</t>
  </si>
  <si>
    <t>dv_pretest</t>
  </si>
  <si>
    <t>We have become puppets of Brussels.</t>
  </si>
  <si>
    <t>exp1</t>
  </si>
  <si>
    <t>NA</t>
  </si>
  <si>
    <t>Exploitation</t>
  </si>
  <si>
    <t>THREAT</t>
  </si>
  <si>
    <t>S1: Poisonous ethnocentrism?</t>
  </si>
  <si>
    <t>We are unable to use our nation’s greatest potential because foreign countries are exploiting us.</t>
  </si>
  <si>
    <t>We are unable to use our nation’s full potential because foreign countries are exploiting us.</t>
  </si>
  <si>
    <t>poi3</t>
  </si>
  <si>
    <t>exp_1</t>
  </si>
  <si>
    <t>USE</t>
  </si>
  <si>
    <t>Foreign countries are exploiting our nation’s resources.</t>
  </si>
  <si>
    <t>exp2</t>
  </si>
  <si>
    <t>exp_2</t>
  </si>
  <si>
    <t>Western civilization is characterized by materialism and exploitation of others.</t>
  </si>
  <si>
    <t>Western liberalism is characterized by materialism and exploitation of others.</t>
  </si>
  <si>
    <t>exp3</t>
  </si>
  <si>
    <t>exp_3</t>
  </si>
  <si>
    <t>Globalization poses a big threat to our statehood and national identity.</t>
  </si>
  <si>
    <t>exp4</t>
  </si>
  <si>
    <t>exp_4</t>
  </si>
  <si>
    <t>Over the past decades, moral values have declined due to Western influence.</t>
  </si>
  <si>
    <t>Over the past decades, moral values have declined due to Western liberal influence.</t>
  </si>
  <si>
    <t>dec1</t>
  </si>
  <si>
    <t>exp5</t>
  </si>
  <si>
    <t>exp_5</t>
  </si>
  <si>
    <t>S1: Decadence?</t>
  </si>
  <si>
    <t>Western actions bring moral erosion.</t>
  </si>
  <si>
    <t>dec2</t>
  </si>
  <si>
    <t>Decadence</t>
  </si>
  <si>
    <t>Our values and lifestyles should be protected from Western moral decadence.</t>
  </si>
  <si>
    <t>dec3</t>
  </si>
  <si>
    <t>The moral decadence of the West threatens my way of life.</t>
  </si>
  <si>
    <t>dec4</t>
  </si>
  <si>
    <t>The EU is trying to buy our country to spread its immoral values.</t>
  </si>
  <si>
    <t>dec5</t>
  </si>
  <si>
    <t>We should protect and enforce traditional gender roles.</t>
  </si>
  <si>
    <t>lgbt1</t>
  </si>
  <si>
    <t>lgb1</t>
  </si>
  <si>
    <t>The LGBT+_1</t>
  </si>
  <si>
    <t>The LGBT+</t>
  </si>
  <si>
    <t>GAY</t>
  </si>
  <si>
    <t>The LGBT+ movement is a threat to our values.</t>
  </si>
  <si>
    <t>lgbt2</t>
  </si>
  <si>
    <t>lgb2</t>
  </si>
  <si>
    <t>The LGBT+_2</t>
  </si>
  <si>
    <t>LGBT+ rights promotion is a disguised form of colonization.</t>
  </si>
  <si>
    <t>lgbt3</t>
  </si>
  <si>
    <t>lgb3</t>
  </si>
  <si>
    <t>The LGBT+_3</t>
  </si>
  <si>
    <t>We should ban LGBT+ propaganda like countries as Russia or Belorussia did.</t>
  </si>
  <si>
    <t>We should ban LGBT+ propaganda like Russia and Belorussia did.</t>
  </si>
  <si>
    <t>lgbt4</t>
  </si>
  <si>
    <t>lgb4</t>
  </si>
  <si>
    <t>The LGBT+_4</t>
  </si>
  <si>
    <t>We should immediately stop promoting leftist, woke gender ideology.</t>
  </si>
  <si>
    <t>lgb5</t>
  </si>
  <si>
    <t>The LGBT+_5</t>
  </si>
  <si>
    <t>We should acknowledge biological reality that only two genders exist – male and female.</t>
  </si>
  <si>
    <t>lgb6</t>
  </si>
  <si>
    <t>The LGBT+_6</t>
  </si>
  <si>
    <t>The EU is unable to handle immigration.</t>
  </si>
  <si>
    <t>EU is unable to handle immigration.</t>
  </si>
  <si>
    <t>unp3</t>
  </si>
  <si>
    <t>mi1</t>
  </si>
  <si>
    <t>imi_1</t>
  </si>
  <si>
    <t>Immigration</t>
  </si>
  <si>
    <t>MIGR</t>
  </si>
  <si>
    <t>S1: Unprotected?</t>
  </si>
  <si>
    <t>We should adopt a much harder line against immigration.</t>
  </si>
  <si>
    <t>mi3</t>
  </si>
  <si>
    <t>imi_2</t>
  </si>
  <si>
    <t>Immigrants take advantage of our country.</t>
  </si>
  <si>
    <t>mi4</t>
  </si>
  <si>
    <t>imi_3</t>
  </si>
  <si>
    <t>Immigrants are changing Europe for the worse.</t>
  </si>
  <si>
    <t>unp4</t>
  </si>
  <si>
    <t>mi2</t>
  </si>
  <si>
    <t>imi_4</t>
  </si>
  <si>
    <t>We should deport all immigrants to where they came from.</t>
  </si>
  <si>
    <t>mi5</t>
  </si>
  <si>
    <t>imi_5</t>
  </si>
  <si>
    <t>Immigrants are responsible for many of my country's biggest problems.</t>
  </si>
  <si>
    <t>mi6</t>
  </si>
  <si>
    <t>imi_6</t>
  </si>
  <si>
    <t>Foreigners do not belong in Lithuania.</t>
  </si>
  <si>
    <t>Foreigners do not belong in Germany.</t>
  </si>
  <si>
    <t>mi7</t>
  </si>
  <si>
    <t>imi_7</t>
  </si>
  <si>
    <t>EU is weak and has no power.</t>
  </si>
  <si>
    <t>Our international allies are weak and have no power.</t>
  </si>
  <si>
    <t>unp1</t>
  </si>
  <si>
    <t>unp_1</t>
  </si>
  <si>
    <t>Unprotected by international allies</t>
  </si>
  <si>
    <t>SAFE</t>
  </si>
  <si>
    <t>The influence of the USA in the world is getting weaker and weaker.</t>
  </si>
  <si>
    <t>unp2</t>
  </si>
  <si>
    <t>NATO will not be brave enough to defend our nation in case of military conflict.</t>
  </si>
  <si>
    <t>Our international allies will not be brave enough to defend our country in case of military conflict.</t>
  </si>
  <si>
    <t>unp5</t>
  </si>
  <si>
    <t>unp_2</t>
  </si>
  <si>
    <t>NATO will betray us like Ukraine has been betrayed.</t>
  </si>
  <si>
    <t>Our international allies will ultimately betray us.</t>
  </si>
  <si>
    <t>unp6</t>
  </si>
  <si>
    <t>unp_3</t>
  </si>
  <si>
    <t>We should quit NATO as NATO membership poses a great threat to our nation.</t>
  </si>
  <si>
    <t>unp7</t>
  </si>
  <si>
    <t>NATO has expanded too much and will be torn apart by internal conflicts.</t>
  </si>
  <si>
    <t>The unity of the international allies will be torn apart by internal conflicts.</t>
  </si>
  <si>
    <t>unp8</t>
  </si>
  <si>
    <t>unp_4</t>
  </si>
  <si>
    <t>LEFT</t>
  </si>
  <si>
    <t>I’m worried that our ways of life are sought to be destroyed.</t>
  </si>
  <si>
    <t>I’m worried that our way of life is under attack</t>
  </si>
  <si>
    <t>Twor1</t>
  </si>
  <si>
    <t>th1</t>
  </si>
  <si>
    <t>THR_1</t>
  </si>
  <si>
    <t>I am sad because our culture, language, and identity are disappearing.</t>
  </si>
  <si>
    <t>Tsad</t>
  </si>
  <si>
    <t>th2</t>
  </si>
  <si>
    <t>THR_2</t>
  </si>
  <si>
    <t>I feel a threat to the survival of our nation-state.</t>
  </si>
  <si>
    <t>Tthr</t>
  </si>
  <si>
    <t>th3</t>
  </si>
  <si>
    <t>THR_3</t>
  </si>
  <si>
    <t>I hate Western liberalism.</t>
  </si>
  <si>
    <t>Thate</t>
  </si>
  <si>
    <t>th4</t>
  </si>
  <si>
    <t>THR_4</t>
  </si>
  <si>
    <t>I’m worried that my country is being exploited by foreign countries.</t>
  </si>
  <si>
    <t>Twor2</t>
  </si>
  <si>
    <t>th5</t>
  </si>
  <si>
    <t>THR_5</t>
  </si>
  <si>
    <t>I am angry when I think about how my country is being used by foreign countries.</t>
  </si>
  <si>
    <t>Tang1</t>
  </si>
  <si>
    <t>th6</t>
  </si>
  <si>
    <t>THR_6</t>
  </si>
  <si>
    <t>I am angry because immigration is changing our way of life for the worse.</t>
  </si>
  <si>
    <t>Tang2</t>
  </si>
  <si>
    <t>th7</t>
  </si>
  <si>
    <t>THR_7</t>
  </si>
  <si>
    <t>I feel worried because of uncontrolled immigration.</t>
  </si>
  <si>
    <t>Twor3</t>
  </si>
  <si>
    <t>th8</t>
  </si>
  <si>
    <t>THR_8</t>
  </si>
  <si>
    <t>I am worried about the spread of LGBT+ propaganda.</t>
  </si>
  <si>
    <t>I am worried by the spread of LGBT+ propaganda</t>
  </si>
  <si>
    <t>Twor4</t>
  </si>
  <si>
    <t>th9</t>
  </si>
  <si>
    <t>THR_9</t>
  </si>
  <si>
    <t>I’m outraged when thinking about the promotion LGBT+ ideas.</t>
  </si>
  <si>
    <t>Tang3</t>
  </si>
  <si>
    <t>th10</t>
  </si>
  <si>
    <t>THR_10</t>
  </si>
  <si>
    <t>I’m disgusted by the LGBT+ propaganda.</t>
  </si>
  <si>
    <t>Tdis</t>
  </si>
  <si>
    <t>th11</t>
  </si>
  <si>
    <t>THR_11</t>
  </si>
  <si>
    <t>I feel nostalgic for the days when moral values truly mattered to us.</t>
  </si>
  <si>
    <t>Tnost</t>
  </si>
  <si>
    <t>th12</t>
  </si>
  <si>
    <t>THR_12</t>
  </si>
  <si>
    <t>My state has abandoned its citizens.</t>
  </si>
  <si>
    <t>aban1</t>
  </si>
  <si>
    <t>aban_1</t>
  </si>
  <si>
    <t>Abandoned by own state</t>
  </si>
  <si>
    <t>My state is exploiting its citizens.</t>
  </si>
  <si>
    <t>aban2</t>
  </si>
  <si>
    <t>aban_2</t>
  </si>
  <si>
    <t>LONE</t>
  </si>
  <si>
    <t>My state is a failed state.</t>
  </si>
  <si>
    <t>aban3</t>
  </si>
  <si>
    <t>aban_3</t>
  </si>
  <si>
    <t>I don't feel that my state takes good care of me.</t>
  </si>
  <si>
    <t>I don't think that my state takes good care of us.</t>
  </si>
  <si>
    <t>aban4</t>
  </si>
  <si>
    <t>aban_4</t>
  </si>
  <si>
    <t>My state is not able to ensure jobs and fair income for everyone.</t>
  </si>
  <si>
    <t>aban5</t>
  </si>
  <si>
    <t>aban_5</t>
  </si>
  <si>
    <t>I feel anger towards specific politicians who made our daily lives worse.</t>
  </si>
  <si>
    <t>aban6</t>
  </si>
  <si>
    <t>I feel outraged with specific politicians who have failed us.</t>
  </si>
  <si>
    <t>aban7</t>
  </si>
  <si>
    <t>I possess information on how specific politicians worked against our statehood.</t>
  </si>
  <si>
    <t>aban8</t>
  </si>
  <si>
    <t>My state is censoring access to truthful information.</t>
  </si>
  <si>
    <t>cen1</t>
  </si>
  <si>
    <t>cen_1</t>
  </si>
  <si>
    <t>Abandoned by media (censorship)</t>
  </si>
  <si>
    <t>My state is supporting media you cannot trust.</t>
  </si>
  <si>
    <t>cen2</t>
  </si>
  <si>
    <t>cen_2</t>
  </si>
  <si>
    <t>My state actively restricts my freedom of opinion.</t>
  </si>
  <si>
    <t>cen3</t>
  </si>
  <si>
    <t>cen_3</t>
  </si>
  <si>
    <t>All mainstream media are lying to us.</t>
  </si>
  <si>
    <t>cens1</t>
  </si>
  <si>
    <t>cen4</t>
  </si>
  <si>
    <t>cen_4</t>
  </si>
  <si>
    <t>Mainstream media are trying to brainwash citizens of my country.</t>
  </si>
  <si>
    <t>cen5</t>
  </si>
  <si>
    <t>cen_5</t>
  </si>
  <si>
    <t>Mainstream media are useless in providing truthful and accurate information.</t>
  </si>
  <si>
    <t>cen6</t>
  </si>
  <si>
    <t>cen_6</t>
  </si>
  <si>
    <t>I'm constantly following media that is banned in my country.</t>
  </si>
  <si>
    <t>I'm constantly following media that are banned in my country..</t>
  </si>
  <si>
    <t>cens2</t>
  </si>
  <si>
    <t>int1</t>
  </si>
  <si>
    <t>Access to banned media</t>
  </si>
  <si>
    <t>S1: censorship</t>
  </si>
  <si>
    <t>I trust media that are banned in my country.</t>
  </si>
  <si>
    <t>int2</t>
  </si>
  <si>
    <t>I possess comprehensive knowledge because I know how to access media channels that are banned in my country.</t>
  </si>
  <si>
    <t>cens3</t>
  </si>
  <si>
    <t>int3</t>
  </si>
  <si>
    <t>In general, I distrust our international allies.</t>
  </si>
  <si>
    <t>Adist</t>
  </si>
  <si>
    <t>ab1</t>
  </si>
  <si>
    <t>AB_1</t>
  </si>
  <si>
    <t>DISTRUST/BETRAYAL/ABANDONMENT</t>
  </si>
  <si>
    <t>I feel disappointed by the actions of the international allies in protecting my country.</t>
  </si>
  <si>
    <t>Adisap</t>
  </si>
  <si>
    <t>ab2</t>
  </si>
  <si>
    <t>AB_2</t>
  </si>
  <si>
    <t>I feel frustrated by how my state addresses citizens' needs.</t>
  </si>
  <si>
    <t>Airr1</t>
  </si>
  <si>
    <t>ab3</t>
  </si>
  <si>
    <t>AB_3</t>
  </si>
  <si>
    <t>I’m angry at my state for failing to protect the interests of its citizens.</t>
  </si>
  <si>
    <t>Aang1</t>
  </si>
  <si>
    <t>ab4</t>
  </si>
  <si>
    <t>AB_4</t>
  </si>
  <si>
    <t>I feel sad when I think about how my country takes care of its citizens.</t>
  </si>
  <si>
    <t>Asad</t>
  </si>
  <si>
    <t>ab5</t>
  </si>
  <si>
    <t>AB_5</t>
  </si>
  <si>
    <t>I hate my state because it fails to take care of its citizens.</t>
  </si>
  <si>
    <t>Ahate</t>
  </si>
  <si>
    <t>ab6</t>
  </si>
  <si>
    <t>AB_6</t>
  </si>
  <si>
    <t>I feel angry because the knowledge I want to access is being censored in my state.</t>
  </si>
  <si>
    <t>I feel anger because the information I want to access is being censored in my country.</t>
  </si>
  <si>
    <t>cens4</t>
  </si>
  <si>
    <t>Aang2</t>
  </si>
  <si>
    <t>ab7</t>
  </si>
  <si>
    <t>AB_7</t>
  </si>
  <si>
    <t>I'm frustrated because my state bans the media I want to access.</t>
  </si>
  <si>
    <t>Airr2</t>
  </si>
  <si>
    <t>ab8</t>
  </si>
  <si>
    <t>AB_8</t>
  </si>
  <si>
    <t>I'm proud of myself because I know how to access media that are banned in my country.</t>
  </si>
  <si>
    <t>cens5</t>
  </si>
  <si>
    <t>I feel tense when thinking about potential conflicts with countries like Russia or China.</t>
  </si>
  <si>
    <t>Panx1</t>
  </si>
  <si>
    <t>pa1</t>
  </si>
  <si>
    <t>FEAR_1</t>
  </si>
  <si>
    <t xml:space="preserve">FEAR </t>
  </si>
  <si>
    <t>I would feel safer if peace with countries like Russia is struck at any cost.</t>
  </si>
  <si>
    <t>Pfear1</t>
  </si>
  <si>
    <t>pa2</t>
  </si>
  <si>
    <t>FEAR_2</t>
  </si>
  <si>
    <t>I would feel safer if peace with countries like China is struck at any cost.</t>
  </si>
  <si>
    <t>Pfear2</t>
  </si>
  <si>
    <t>pa3</t>
  </si>
  <si>
    <t>FEAR_3</t>
  </si>
  <si>
    <t>I would feel safer if peace with countries like Russia or China is struck at any cost</t>
  </si>
  <si>
    <t>I’m anxious about the consequences of a conflict with countries like Russia.</t>
  </si>
  <si>
    <t>Panx2</t>
  </si>
  <si>
    <t>pa4</t>
  </si>
  <si>
    <t>FEAR_4</t>
  </si>
  <si>
    <t>I’m anxious about the consequences of a conflict with countries like China.</t>
  </si>
  <si>
    <t>Panx3</t>
  </si>
  <si>
    <t>pa5</t>
  </si>
  <si>
    <t>FEAR_5</t>
  </si>
  <si>
    <t>I’m anxious about the consequences of a conflict with countries like Russia or China</t>
  </si>
  <si>
    <t>I am angry that we are risking the safety of its citizens by getting involved in a reckless conflict with other countries.</t>
  </si>
  <si>
    <t>Pang</t>
  </si>
  <si>
    <t>pa6</t>
  </si>
  <si>
    <t>FEAR_6</t>
  </si>
  <si>
    <t>Russia has an important historic mission.</t>
  </si>
  <si>
    <t>sup_ru1</t>
  </si>
  <si>
    <t>suru1</t>
  </si>
  <si>
    <t>sru1</t>
  </si>
  <si>
    <t>SPR Russia_1</t>
  </si>
  <si>
    <t>Superiority Russia</t>
  </si>
  <si>
    <t>SUPR</t>
  </si>
  <si>
    <t>Russia will reemerge as the most powerful nation in the world.</t>
  </si>
  <si>
    <t>Russia will reemerge as the most powerful country in the world.</t>
  </si>
  <si>
    <t>sup_ru2</t>
  </si>
  <si>
    <t>suru2</t>
  </si>
  <si>
    <t>sru2</t>
  </si>
  <si>
    <t>SPR Russia_2</t>
  </si>
  <si>
    <t>RULE</t>
  </si>
  <si>
    <t>Russia is technologically advanced.</t>
  </si>
  <si>
    <t>sup_ru3</t>
  </si>
  <si>
    <t>suru3</t>
  </si>
  <si>
    <t>sru3</t>
  </si>
  <si>
    <t>SPR Russia_3</t>
  </si>
  <si>
    <t>Russia has innovative military technologies.</t>
  </si>
  <si>
    <t>sup_ru4</t>
  </si>
  <si>
    <t>suru4</t>
  </si>
  <si>
    <t>sru4</t>
  </si>
  <si>
    <t>SPR Russia_4</t>
  </si>
  <si>
    <t>Russian hackers are able to hack any institution in the world.</t>
  </si>
  <si>
    <t>sup_ru5</t>
  </si>
  <si>
    <t>Russia represents a unique Slavic civilization.</t>
  </si>
  <si>
    <t>sup_ru6</t>
  </si>
  <si>
    <t>suru5</t>
  </si>
  <si>
    <t>sru5</t>
  </si>
  <si>
    <t>SPR Russia_5</t>
  </si>
  <si>
    <t>Russian culture is a superior culture.</t>
  </si>
  <si>
    <t>sup_ru7</t>
  </si>
  <si>
    <t>suru6</t>
  </si>
  <si>
    <t>sru6</t>
  </si>
  <si>
    <t>SPR Russia_6</t>
  </si>
  <si>
    <t>Russia is the last bastion of anti-systemic and anti-global forces in Europe.</t>
  </si>
  <si>
    <t>sup_ru8</t>
  </si>
  <si>
    <t>suru7</t>
  </si>
  <si>
    <t>sru7</t>
  </si>
  <si>
    <t>SPR Russia_7</t>
  </si>
  <si>
    <t>Russia is able to defend its core values.</t>
  </si>
  <si>
    <t>sup_ru9</t>
  </si>
  <si>
    <t>suru8</t>
  </si>
  <si>
    <t>sru8</t>
  </si>
  <si>
    <t>SPR Russia_8</t>
  </si>
  <si>
    <t>Russia is able to take good care of its citizens.</t>
  </si>
  <si>
    <t>sup_ru10</t>
  </si>
  <si>
    <t>suru9</t>
  </si>
  <si>
    <t>sru9</t>
  </si>
  <si>
    <t>SPR Russia_9</t>
  </si>
  <si>
    <t>Russia has a unique spiritual potential.</t>
  </si>
  <si>
    <t>sup_ru11</t>
  </si>
  <si>
    <t>suru10</t>
  </si>
  <si>
    <t>sru10</t>
  </si>
  <si>
    <t>SPR Russia_10</t>
  </si>
  <si>
    <t>Siberian cedar is a tree of exceptional spiritual importance.</t>
  </si>
  <si>
    <t>sup_ru12</t>
  </si>
  <si>
    <t>Russia draws its strength from its places of spiritual importance.</t>
  </si>
  <si>
    <t>sup_ru13</t>
  </si>
  <si>
    <t>suru11</t>
  </si>
  <si>
    <t>sru11</t>
  </si>
  <si>
    <t>SPR Russia_11</t>
  </si>
  <si>
    <t>Russia will protect us if needed.</t>
  </si>
  <si>
    <t>suru12</t>
  </si>
  <si>
    <t>sru12</t>
  </si>
  <si>
    <t>SPR Russia_12</t>
  </si>
  <si>
    <t>Putin's strong and masculine personality resonates well with me.</t>
  </si>
  <si>
    <t>sup_ru14</t>
  </si>
  <si>
    <t>Putin is a strong leader standing up against the West.</t>
  </si>
  <si>
    <t>sup_ru15</t>
  </si>
  <si>
    <t>China has an important historic mission.</t>
  </si>
  <si>
    <t>sup_kin1</t>
  </si>
  <si>
    <t>such1</t>
  </si>
  <si>
    <t>ski1</t>
  </si>
  <si>
    <t>SPR China_1</t>
  </si>
  <si>
    <t>Superiority China</t>
  </si>
  <si>
    <t>SUPK</t>
  </si>
  <si>
    <t>China will reemerge as the most powerful nation in the world.</t>
  </si>
  <si>
    <t>China will reemerge as the most powerful country in the world.</t>
  </si>
  <si>
    <t>sup_kin2</t>
  </si>
  <si>
    <t>such2</t>
  </si>
  <si>
    <t>ski2</t>
  </si>
  <si>
    <t>SPR China_2</t>
  </si>
  <si>
    <t>China will soon have full control over the world economy.</t>
  </si>
  <si>
    <t>sup_kin3</t>
  </si>
  <si>
    <t>such3</t>
  </si>
  <si>
    <t>ski3</t>
  </si>
  <si>
    <t>SPR China_3</t>
  </si>
  <si>
    <t>China is technologically advanced.</t>
  </si>
  <si>
    <t>sup_kin4</t>
  </si>
  <si>
    <t>such4</t>
  </si>
  <si>
    <t>ski4</t>
  </si>
  <si>
    <t>SPR China_4</t>
  </si>
  <si>
    <t>China has innovative military technologies.</t>
  </si>
  <si>
    <t>sup_kin5</t>
  </si>
  <si>
    <t>such5</t>
  </si>
  <si>
    <t>ski5</t>
  </si>
  <si>
    <t>SPR China_5</t>
  </si>
  <si>
    <t>Chinese agents are able to infiltrate into any institution in the world.</t>
  </si>
  <si>
    <t>sup_kin6</t>
  </si>
  <si>
    <t>China represents a unique civilization.</t>
  </si>
  <si>
    <t>sup_kin7</t>
  </si>
  <si>
    <t>such6</t>
  </si>
  <si>
    <t>ski6</t>
  </si>
  <si>
    <t>SPR China_6</t>
  </si>
  <si>
    <t>Chinese culture is a superior culture.</t>
  </si>
  <si>
    <t>sup_kin8</t>
  </si>
  <si>
    <t>such7</t>
  </si>
  <si>
    <t>ski7</t>
  </si>
  <si>
    <t>SPR China_7</t>
  </si>
  <si>
    <t>China is successfully reshaping the global system for its own purposes.</t>
  </si>
  <si>
    <t>sup_kin9</t>
  </si>
  <si>
    <t>such8</t>
  </si>
  <si>
    <t>ski8</t>
  </si>
  <si>
    <t>SPR China_8</t>
  </si>
  <si>
    <t>China is able to defend its core values.</t>
  </si>
  <si>
    <t>sup_kin10</t>
  </si>
  <si>
    <t>such9</t>
  </si>
  <si>
    <t>ski9</t>
  </si>
  <si>
    <t>SPR China_9</t>
  </si>
  <si>
    <t>China is able to take good care of its citizens..</t>
  </si>
  <si>
    <t>sup_kin11</t>
  </si>
  <si>
    <t>such10</t>
  </si>
  <si>
    <t>ski10</t>
  </si>
  <si>
    <t>SPR China_10</t>
  </si>
  <si>
    <t>China will protect us if needed.</t>
  </si>
  <si>
    <t>such11</t>
  </si>
  <si>
    <t>ski11</t>
  </si>
  <si>
    <t>SPR China_11</t>
  </si>
  <si>
    <t>To a certain extent, I admire Russia.</t>
  </si>
  <si>
    <t>Sru1</t>
  </si>
  <si>
    <t>fru1</t>
  </si>
  <si>
    <t>Superiority_1</t>
  </si>
  <si>
    <t xml:space="preserve">SUPERIORITY </t>
  </si>
  <si>
    <t>Sometimes, I feel inspired by the actions of Russia.</t>
  </si>
  <si>
    <t>Sometimes I feel inspired by Russia</t>
  </si>
  <si>
    <t>Sru2</t>
  </si>
  <si>
    <t>fru2</t>
  </si>
  <si>
    <t>Superiority_2</t>
  </si>
  <si>
    <t>Russia gives me hope.</t>
  </si>
  <si>
    <t>Sru3</t>
  </si>
  <si>
    <t>fru3</t>
  </si>
  <si>
    <t>Superiority_3</t>
  </si>
  <si>
    <t>I respect Russia.</t>
  </si>
  <si>
    <t>Sru4</t>
  </si>
  <si>
    <t>fru4</t>
  </si>
  <si>
    <t>Superiority_4</t>
  </si>
  <si>
    <t>To a certain extent, I admire China.</t>
  </si>
  <si>
    <t>Sch1</t>
  </si>
  <si>
    <t>fch1</t>
  </si>
  <si>
    <t>Superiority_5</t>
  </si>
  <si>
    <t>Sometimes, I feel inspired by the actions of China.</t>
  </si>
  <si>
    <t>Sometimes I feel inspired by China</t>
  </si>
  <si>
    <t>Sch2</t>
  </si>
  <si>
    <t>fch2</t>
  </si>
  <si>
    <t>Superiority_6</t>
  </si>
  <si>
    <t>China gives me hope.</t>
  </si>
  <si>
    <t>Sch3</t>
  </si>
  <si>
    <t>fch3</t>
  </si>
  <si>
    <t>Superiority_7</t>
  </si>
  <si>
    <t>I respect China.</t>
  </si>
  <si>
    <t>Sch4</t>
  </si>
  <si>
    <t>fch4</t>
  </si>
  <si>
    <t>Superiority_8</t>
  </si>
  <si>
    <t>It is a mistake that we are not allowed to collaborate with states such as China.</t>
  </si>
  <si>
    <t>prag_kin1</t>
  </si>
  <si>
    <t>pch1</t>
  </si>
  <si>
    <t>PRG CHINA_1</t>
  </si>
  <si>
    <t>Pragmatism China</t>
  </si>
  <si>
    <t>ANXK</t>
  </si>
  <si>
    <t>Taiwan should finally stop provoking China.</t>
  </si>
  <si>
    <t>prag_kin2</t>
  </si>
  <si>
    <t>pch2</t>
  </si>
  <si>
    <t>PRG CHINA_2</t>
  </si>
  <si>
    <t>We should not become enemies with countries like China.</t>
  </si>
  <si>
    <t>prag_kin3</t>
  </si>
  <si>
    <t>pch3</t>
  </si>
  <si>
    <t>PRG CHINA_3</t>
  </si>
  <si>
    <t>FEAR</t>
  </si>
  <si>
    <t>The West should not behave aggressively towards countries like China.</t>
  </si>
  <si>
    <t>prag_kin4</t>
  </si>
  <si>
    <t>pch4</t>
  </si>
  <si>
    <t>PRG CHINA_4</t>
  </si>
  <si>
    <t>Countries like China never attack without being provoked.</t>
  </si>
  <si>
    <t>prag_kin5</t>
  </si>
  <si>
    <t>pch5</t>
  </si>
  <si>
    <t>PRG CHINA_5</t>
  </si>
  <si>
    <t>China is like a sleeping dragon that we should not wake up.</t>
  </si>
  <si>
    <t>prag_kin6</t>
  </si>
  <si>
    <t>pch6</t>
  </si>
  <si>
    <t>PRG CHINA_6</t>
  </si>
  <si>
    <t>It is a mistake that we are not allowed to collaborate with such states as Russia.</t>
  </si>
  <si>
    <t>prag_ru1</t>
  </si>
  <si>
    <t>pru1</t>
  </si>
  <si>
    <t>Pragm Russia_1</t>
  </si>
  <si>
    <t>Pragmatism Russia</t>
  </si>
  <si>
    <t>ANXR</t>
  </si>
  <si>
    <t>Countries like Ukraine should finally start building good relations with Russia.</t>
  </si>
  <si>
    <t>prag_ru2</t>
  </si>
  <si>
    <t>pru2</t>
  </si>
  <si>
    <t>Pragm Russia_2</t>
  </si>
  <si>
    <t>We should not become enemies with countries like Russia.</t>
  </si>
  <si>
    <t>prag_ru3</t>
  </si>
  <si>
    <t>pru3</t>
  </si>
  <si>
    <t>Pragm Russia_3</t>
  </si>
  <si>
    <t>The West should not behave aggressively towards countries like Russia.</t>
  </si>
  <si>
    <t>prag_ru4</t>
  </si>
  <si>
    <t>pru4</t>
  </si>
  <si>
    <t>Pragm Russia_4</t>
  </si>
  <si>
    <t>Countries like Russia never attack without being provoked.</t>
  </si>
  <si>
    <t>prag_ru5</t>
  </si>
  <si>
    <t>pru5</t>
  </si>
  <si>
    <t>Pragm Russia_5</t>
  </si>
  <si>
    <t>Russia is like a sleeping bear that we should not wake up.</t>
  </si>
  <si>
    <t>prag_ru6</t>
  </si>
  <si>
    <t>pru6</t>
  </si>
  <si>
    <t>Pragm Russia_6</t>
  </si>
  <si>
    <t>I have a very negative feeling about how my state handles external threats.</t>
  </si>
  <si>
    <t>gen1</t>
  </si>
  <si>
    <t>gen_1</t>
  </si>
  <si>
    <t>GENERAL</t>
  </si>
  <si>
    <t>I dislike the actions of our international allies in ensuring the safety of my state.</t>
  </si>
  <si>
    <t>gen2</t>
  </si>
  <si>
    <t>gen_2</t>
  </si>
  <si>
    <t>I fear the consequences of provoking countries like Russia.</t>
  </si>
  <si>
    <t>gen3</t>
  </si>
  <si>
    <t>gen_3</t>
  </si>
  <si>
    <t>I fear the consequences of provoking countries like China.</t>
  </si>
  <si>
    <t>gen4</t>
  </si>
  <si>
    <t>gen_4</t>
  </si>
  <si>
    <t>I fear the consequences of provoking countries like Russia or China</t>
  </si>
  <si>
    <t>I like Russia.</t>
  </si>
  <si>
    <t>gen5</t>
  </si>
  <si>
    <t>gen_5</t>
  </si>
  <si>
    <t>I trust Russia.</t>
  </si>
  <si>
    <t>gen6</t>
  </si>
  <si>
    <t>gen_6</t>
  </si>
  <si>
    <t>I like China.</t>
  </si>
  <si>
    <t>gen7</t>
  </si>
  <si>
    <t>gen_7</t>
  </si>
  <si>
    <t>I trust China.</t>
  </si>
  <si>
    <t>gen8</t>
  </si>
  <si>
    <t>gen_8</t>
  </si>
  <si>
    <t>Our national interests are more important than other countries' interests.</t>
  </si>
  <si>
    <t>cet1</t>
  </si>
  <si>
    <t>cet_1</t>
  </si>
  <si>
    <t>Poisonous ethnocentrism</t>
  </si>
  <si>
    <t>We should protect our nation's interests by any means necessary.</t>
  </si>
  <si>
    <t>cet2</t>
  </si>
  <si>
    <t>cet_2</t>
  </si>
  <si>
    <t>Preserving our culture, language, and identity as the predominant one in our country is of utmost importance for us.</t>
  </si>
  <si>
    <t>cet3</t>
  </si>
  <si>
    <t>cet_3</t>
  </si>
  <si>
    <t>Everything that is non-Lithuanian may threaten the survival of our nation-state.</t>
  </si>
  <si>
    <t>Everything that is non-German may threaten the survival of our nation-state.</t>
  </si>
  <si>
    <t>cet4</t>
  </si>
  <si>
    <t>cet_4</t>
  </si>
  <si>
    <t>Our enemies are constantly threatening our national interests.</t>
  </si>
  <si>
    <t>cet5</t>
  </si>
  <si>
    <t>cet_5</t>
  </si>
  <si>
    <t>We should protect our culture, language and identity from foreign influences.</t>
  </si>
  <si>
    <t>cet6</t>
  </si>
  <si>
    <t>cet_6</t>
  </si>
  <si>
    <t>We should not easily adopt values and lifestyles that are imposed on us from outside</t>
  </si>
  <si>
    <t>poi1</t>
  </si>
  <si>
    <t>Outsiders from abroad are constantly threatening our national identity.</t>
  </si>
  <si>
    <t>poi2</t>
  </si>
  <si>
    <t>We should keep the land where our ancestors lived for ourselves.</t>
  </si>
  <si>
    <t>poi4</t>
  </si>
  <si>
    <t>We should protect our traditions from outsiders.</t>
  </si>
  <si>
    <t>poi5</t>
  </si>
  <si>
    <t>By joining unions like the EU or NATO, we are losing our independence.</t>
  </si>
  <si>
    <t>By joining unions like the EU and NATO, we are losing our independence.</t>
  </si>
  <si>
    <t>poi6</t>
  </si>
  <si>
    <t>cet7</t>
  </si>
  <si>
    <t>cet_7</t>
  </si>
  <si>
    <t>We have sold our national identity to unions like the EU or NATO.</t>
  </si>
  <si>
    <t>We have sold our national identity to unions like the EU and NATO.</t>
  </si>
  <si>
    <t>poi7</t>
  </si>
  <si>
    <t>cet8</t>
  </si>
  <si>
    <t>cet_8</t>
  </si>
  <si>
    <t>Russian hackers hacked the website of the Finnish Parliament – the website is not accessible to users right now</t>
  </si>
  <si>
    <t>news1</t>
  </si>
  <si>
    <t>FIMI News Items</t>
  </si>
  <si>
    <t>Ukraine and Poland join forces: joint production of war drones</t>
  </si>
  <si>
    <t>news2</t>
  </si>
  <si>
    <t>FIMI-02</t>
  </si>
  <si>
    <t>Zelensky bought a British mansion from King Charles for 20 million pounds</t>
  </si>
  <si>
    <t>Zelenskyy bought a British mansion from King Charles for 20 million pounds</t>
  </si>
  <si>
    <t>news3</t>
  </si>
  <si>
    <t>FIMI-01</t>
  </si>
  <si>
    <t>France asked Russia not to touch the French military in Ukraine</t>
  </si>
  <si>
    <t>news4</t>
  </si>
  <si>
    <t>FIMI-03</t>
  </si>
  <si>
    <t>Global Times | US the exploiter</t>
  </si>
  <si>
    <t>news5</t>
  </si>
  <si>
    <t>No Lenin – no electrification. Its logical that “we have moved to the dark side” – Kiev</t>
  </si>
  <si>
    <t>news6</t>
  </si>
  <si>
    <t>The 2026 Milan–Cortina d'Ampezzo Olympics and Paralympics will be openly LGBT++</t>
  </si>
  <si>
    <t>The 2026 Milan–Cortina d'Ampezzo Olympics and Paralympics will be openly LGBT+</t>
  </si>
  <si>
    <t>news7</t>
  </si>
  <si>
    <t>FIMI-04</t>
  </si>
  <si>
    <t>Ukrainian army is looking for a mentor on tolerance working for front lines</t>
  </si>
  <si>
    <t>The Ukrainian army is looking for a mentor on tolerance working with front line troops</t>
  </si>
  <si>
    <t>news8</t>
  </si>
  <si>
    <t>FIMI-05</t>
  </si>
  <si>
    <t>Gays and transvestites in Kiev are invited to join LGBT brigades</t>
  </si>
  <si>
    <t>Gays and transvestites in Kiev are invited to join LGBT military brigades</t>
  </si>
  <si>
    <t>Gays and transvestites in Kyiv are invited to join LGBT+ military brigades</t>
  </si>
  <si>
    <t>news9</t>
  </si>
  <si>
    <t>FIMI-06</t>
  </si>
  <si>
    <t>Russian hackers from KillNet registered NATO employees on gay dating site in Kiev and Moldova</t>
  </si>
  <si>
    <t>news10</t>
  </si>
  <si>
    <t>In Bremerhaven, Germany, a young boy is forcefully removed from his family by child protection services and police because his family taught that homosexuality and transgenderism were not acceptable because of his family’s Islamic background</t>
  </si>
  <si>
    <t>news11</t>
  </si>
  <si>
    <t>Li-Meng Yan, a Chinese virologist who alleges that the COVID-19 virus originated from a Chinese government laboratory is a complete rumor maker</t>
  </si>
  <si>
    <t>Li-Meng Yan, a Chinese virologist who alleges that the COVID-19 virus originated from a Chinese government laboratory is a known rumor maker</t>
  </si>
  <si>
    <t>news12</t>
  </si>
  <si>
    <t>FIMI-07</t>
  </si>
  <si>
    <t>USA is conducting human experiments on Thai-Myanmar border</t>
  </si>
  <si>
    <t>news13</t>
  </si>
  <si>
    <t>CGTN: Closer People-to-People Bonds foster China-Vietnam Friendship</t>
  </si>
  <si>
    <t>news14</t>
  </si>
  <si>
    <t>FIMI-08</t>
  </si>
  <si>
    <t>The plague-like rule of extreme right-wing religious leader Li Hongzhi who is banned in China</t>
  </si>
  <si>
    <t>The plague-like rule of extreme right-wing religious leader Li Hongzhi is banned in China</t>
  </si>
  <si>
    <t>news15</t>
  </si>
  <si>
    <t>Hungary's Prime Minister Viktor Orbán's son-in-law is building a hotel empire</t>
  </si>
  <si>
    <t>Non FIMI News Items</t>
  </si>
  <si>
    <t>NonFIMI-01</t>
  </si>
  <si>
    <t>Baltics, Poland, Finland, Norway agree on 'drone wall' to protect borders</t>
  </si>
  <si>
    <t>NonFIMI-02</t>
  </si>
  <si>
    <t>Portuguese embassy in Ukraine was affected by the Russian missile strike</t>
  </si>
  <si>
    <t>NonFIMI-03</t>
  </si>
  <si>
    <t>Olympic Committee emphasises inclusion in sport during LGBTQ Pride Month</t>
  </si>
  <si>
    <t>NonFIMI-04</t>
  </si>
  <si>
    <t>British Army trains Ukrainian officers how to detect and manage battle stress in their troops</t>
  </si>
  <si>
    <t>NonFIMI-05</t>
  </si>
  <si>
    <t>Ukraine's highest profile combat unit to recruit English-speaking soldiers</t>
  </si>
  <si>
    <t>NonFIMI-06</t>
  </si>
  <si>
    <t>CIA Now Favors Lab Leak Theory On Origins of Covid-19</t>
  </si>
  <si>
    <t>NonFIMI-07</t>
  </si>
  <si>
    <t>China, North Korea mark 75th anniversary of ties with vows of cooperation</t>
  </si>
  <si>
    <t>NonFIMI-08</t>
  </si>
  <si>
    <t>Sveiki, šio tyrimo tikslas – geriau suprasti, kaip žmonės apdoroja ir vertina informaciją. Užduosime klausimus, norėdami išsiaiškinti Jūsų nuomonę ir įsitikinimus įvairiomis temomis, taip pat suprasti, kaip vertinate naujienas. Apklausa užtruks apie 15 minučių. Jūsų pateikti atsakymai bus naudojami tik apibendrinta ir pilnai anonimine forma mokslinių tyrimų tikslais. Paspausdami žemiau esantį mygtuką patvirtinate, kad Jūsų dalyvavimas tyrime yra savanoriškas, kad esate 18 metų ar vyresnis ir kad žinote, jog galite bet kada ir dėl bet kokios priežasties nutraukti savo dalyvavimą tyrime.</t>
  </si>
  <si>
    <t>Hallo und herzlich willkommen! Diese Umfrage dient dazu, besser zu verstehen, wie Menschen Informationen wahrnehmen, verarbeiten und bewerten. Wenn Sie an dieser Studie teilnehmen, werden Sie gebeten, Fragen zu Ihren Meinungen zu verschiedenen Themen sowie zur Bewertung von Nachrichteninhalten zu beantworten. Die Teilnahme dauert etwa 15 Minuten. Wir versichern Ihnen, dass alle Angaben vollständig anonymisiert behandelt werden. Ihre Antworten werden nur in anonymisierter Form für wissenschaftliche Publikationen oder andere Veröffentlichungen verwendet. Mit dem Klick auf die Schaltfläche unten bestätigen Sie, dass Ihre Teilnahme an der Studie freiwillig ist, dass Sie mindestens 18 Jahre alt sind und dass Sie informiert wurden, dass Sie Ihre Teilnahme jederzeit und aus beliebigen Gründen beenden können.</t>
  </si>
  <si>
    <t>consent</t>
  </si>
  <si>
    <t>consentLT</t>
  </si>
  <si>
    <t>The data quality of this study is very important for us. Bad-quality data could lead to incorrect conclusions. Therefore, we would like to know whether we can trust your answers. Did you answer all the questions seriously? We would appreciate your honest</t>
  </si>
  <si>
    <t>cons</t>
  </si>
  <si>
    <t>quality</t>
  </si>
  <si>
    <t>Are you currently 18 years of age?</t>
  </si>
  <si>
    <t>Sind Sie derzeit mindestens 18 Jahre alt?</t>
  </si>
  <si>
    <t>screening_question</t>
  </si>
  <si>
    <t>I speak fluent Czechoslovak language.</t>
  </si>
  <si>
    <t>att1</t>
  </si>
  <si>
    <t>Attention Check</t>
  </si>
  <si>
    <t>Last summer I have spent my vacation on Bonferroni island.</t>
  </si>
  <si>
    <t>attLT</t>
  </si>
  <si>
    <t>att2</t>
  </si>
  <si>
    <t>Please select '4' for this item to show you're paying attention</t>
  </si>
  <si>
    <t>att</t>
  </si>
  <si>
    <t>What is the aim of the current study? If you have no ideas, leave it blank.</t>
  </si>
  <si>
    <t>aim</t>
  </si>
  <si>
    <t>What is the highest level of school you have completed, or the highest degree you have received?</t>
  </si>
  <si>
    <t>edu</t>
  </si>
  <si>
    <t>Please indicate your age:</t>
  </si>
  <si>
    <t>What is your age?</t>
  </si>
  <si>
    <t>Wie alt sind Sie?</t>
  </si>
  <si>
    <t>age</t>
  </si>
  <si>
    <t>AgeBucket</t>
  </si>
  <si>
    <t>Please indicate your gender::</t>
  </si>
  <si>
    <t>Bitte geben Sie Ihr Geschlecht an:</t>
  </si>
  <si>
    <t>gender</t>
  </si>
  <si>
    <t>What is your nationality?</t>
  </si>
  <si>
    <t>nationality</t>
  </si>
  <si>
    <t>Please indicate your average disposable income per family member (per month):</t>
  </si>
  <si>
    <t>inc</t>
  </si>
  <si>
    <t>income</t>
  </si>
  <si>
    <t>Imagine that this ladder pictures how society is set up. At the top of the ladder are the people who are the best off, those who have the most money, most education, and best jobs. At the bottom are the people who are the worst off, those who have the lea</t>
  </si>
  <si>
    <t>ladder</t>
  </si>
  <si>
    <t>How often do you share information you read or hear on media with others?</t>
  </si>
  <si>
    <t>freq</t>
  </si>
  <si>
    <t>In welchem Bundesland wohnen Sie?</t>
  </si>
  <si>
    <t>land</t>
  </si>
  <si>
    <t>In which part of Germany do you live?</t>
  </si>
  <si>
    <t>part</t>
  </si>
  <si>
    <t>Indicate the city you currently live in:</t>
  </si>
  <si>
    <t>city</t>
  </si>
  <si>
    <t>Indicate your native language: - Other (indicate) - Text</t>
  </si>
  <si>
    <t>lang_4_TEXT</t>
  </si>
  <si>
    <t>language_native</t>
  </si>
  <si>
    <t>Indicate your native language: - Other [please specify] – Text</t>
  </si>
  <si>
    <t>lang_7_TEXT</t>
  </si>
  <si>
    <t>Indicate your native language: - Selected Choice</t>
  </si>
  <si>
    <t>lang</t>
  </si>
  <si>
    <t>Please evaluate your knowledge of the language on a 9-point scale: - Lithuanian</t>
  </si>
  <si>
    <t>Please evaluate your knowledge of the language: - Lithuanian</t>
  </si>
  <si>
    <t>knowl_1</t>
  </si>
  <si>
    <t>language_level_2</t>
  </si>
  <si>
    <t>Please evaluate your knowledge of the language on a 9-point scale: - Russian</t>
  </si>
  <si>
    <t>Please evaluate your knowledge of the language: - Russian</t>
  </si>
  <si>
    <t>Please evaluate your knowledge of the language on a 9-point scale: 1 = “none”, 9 = “fluent” - Russian</t>
  </si>
  <si>
    <t>knowl_2</t>
  </si>
  <si>
    <t>language_level_3</t>
  </si>
  <si>
    <t>Please evaluate your knowledge of the language on a 9-point scale: - Polish</t>
  </si>
  <si>
    <t>Please evaluate your knowledge of the language: - Polish</t>
  </si>
  <si>
    <t>Please evaluate your knowledge of the language on a 9-point scale: 1 = “none”, 9 = “fluent” - Polish</t>
  </si>
  <si>
    <t>knowl_3</t>
  </si>
  <si>
    <t>knowl_4</t>
  </si>
  <si>
    <t>language_level_4</t>
  </si>
  <si>
    <t>Please evaluate your knowledge of the language on a 9-point scale: 1 = “none”, 9 = “fluent” - German</t>
  </si>
  <si>
    <t>Please evaluate your knowledge of the language on a 9-point scale: 1 = “none”, 9 = “fluent” - Turkish</t>
  </si>
  <si>
    <t>Please evaluate your knowledge of the language on a 9-point scale: 1 = “none”, 9 = “fluent” - Italian</t>
  </si>
  <si>
    <t>knowl_5</t>
  </si>
  <si>
    <t>Please evaluate your knowledge of the language on a 9-point scale: 1 = “none”, 9 = “fluent” - English</t>
  </si>
  <si>
    <t>knowl_6</t>
  </si>
  <si>
    <t>language_level_1</t>
  </si>
  <si>
    <t>Please indicate in which language you would like to participate in the survey:</t>
  </si>
  <si>
    <t>language</t>
  </si>
  <si>
    <t>If there is anything you would like us to know, write your comment below. If not, proceed to the next page to complete the study.</t>
  </si>
  <si>
    <t>comm</t>
  </si>
  <si>
    <t>Response ID</t>
  </si>
  <si>
    <t>ResponseId</t>
  </si>
  <si>
    <t>Start Date</t>
  </si>
  <si>
    <t>StartDate</t>
  </si>
  <si>
    <t>End Date</t>
  </si>
  <si>
    <t>EndDate</t>
  </si>
  <si>
    <t>Duration (in seconds)</t>
  </si>
  <si>
    <t>Duration__in_seconds_</t>
  </si>
  <si>
    <t>Progress</t>
  </si>
  <si>
    <t>Finished</t>
  </si>
  <si>
    <t>Recorded Date</t>
  </si>
  <si>
    <t>RecordedDate</t>
  </si>
  <si>
    <t>Response Type</t>
  </si>
  <si>
    <t>Status</t>
  </si>
  <si>
    <t>Location Latitude</t>
  </si>
  <si>
    <t>LocationLatitude</t>
  </si>
  <si>
    <t>Location Longitude</t>
  </si>
  <si>
    <t>LocationLongitude</t>
  </si>
  <si>
    <t>IP Address</t>
  </si>
  <si>
    <t>IPAddress</t>
  </si>
  <si>
    <t>First in the display order</t>
  </si>
  <si>
    <t>NEWS_ORDER</t>
  </si>
  <si>
    <t>FL_16 - Block Randomizer - Display Order DisInforMeter scale</t>
  </si>
  <si>
    <t>FL_16_DO_DisInforMeter</t>
  </si>
  <si>
    <t>FL_16 - Block Randomizer - Display Order DisInforMeterscale</t>
  </si>
  <si>
    <t>FL_16_DO_DisInforMeterscale</t>
  </si>
  <si>
    <t>FL_16 - Block Randomizer - Display Order News</t>
  </si>
  <si>
    <t>FL_16_DO_News</t>
  </si>
  <si>
    <t>FL_16_DO_news</t>
  </si>
  <si>
    <t>NEWS - Display Order news1</t>
  </si>
  <si>
    <t>DO_news1</t>
  </si>
  <si>
    <t>news_DO_news1</t>
  </si>
  <si>
    <t>NEWS - Display Order news10</t>
  </si>
  <si>
    <t>DO_news10</t>
  </si>
  <si>
    <t>NEWS - Display Order news11</t>
  </si>
  <si>
    <t>DO_news11</t>
  </si>
  <si>
    <t>NEWS - Display Order news12</t>
  </si>
  <si>
    <t>DO_news12</t>
  </si>
  <si>
    <t>NEWS - Display Order news13</t>
  </si>
  <si>
    <t>DO_news13</t>
  </si>
  <si>
    <t>NEWS - Display Order news14</t>
  </si>
  <si>
    <t>DO_news14</t>
  </si>
  <si>
    <t>NEWS - Display Order news15</t>
  </si>
  <si>
    <t>DO_news15</t>
  </si>
  <si>
    <t>NEWS - Display Order news2</t>
  </si>
  <si>
    <t>DO_news2</t>
  </si>
  <si>
    <t>news_DO_news2</t>
  </si>
  <si>
    <t>NEWS - Display Order news3</t>
  </si>
  <si>
    <t>DO_news3</t>
  </si>
  <si>
    <t>news_DO_news3</t>
  </si>
  <si>
    <t>NEWS - Display Order news4</t>
  </si>
  <si>
    <t>DO_news4</t>
  </si>
  <si>
    <t>news_DO_news4</t>
  </si>
  <si>
    <t>NEWS - Display Order news5</t>
  </si>
  <si>
    <t>DO_news5</t>
  </si>
  <si>
    <t>news_DO_news5</t>
  </si>
  <si>
    <t>NEWS - Display Order news6</t>
  </si>
  <si>
    <t>DO_news6</t>
  </si>
  <si>
    <t>news_DO_news6</t>
  </si>
  <si>
    <t>NEWS - Display Order news7</t>
  </si>
  <si>
    <t>DO_news7</t>
  </si>
  <si>
    <t>news_DO_news7</t>
  </si>
  <si>
    <t>NEWS - Display Order news8</t>
  </si>
  <si>
    <t>DO_news8</t>
  </si>
  <si>
    <t>news_DO_news8</t>
  </si>
  <si>
    <t>NEWS - Display Order news9</t>
  </si>
  <si>
    <t>DO_news9</t>
  </si>
  <si>
    <t>news - Display Order newsTxtLT</t>
  </si>
  <si>
    <t>news_DO_newsTxtLT</t>
  </si>
  <si>
    <t>Display order | scale or news first</t>
  </si>
  <si>
    <t>ORDER</t>
  </si>
  <si>
    <t>Display order of news</t>
  </si>
  <si>
    <t>ORDER2</t>
  </si>
  <si>
    <t>Display order: DisInforMeter vs. News</t>
  </si>
  <si>
    <t>ORDER1</t>
  </si>
  <si>
    <t>General global items</t>
  </si>
  <si>
    <t>General global items (8 items)</t>
  </si>
  <si>
    <t>Unprotected by international allies (4 items)</t>
  </si>
  <si>
    <t>UNP</t>
  </si>
  <si>
    <t>Abandoned by media (censorship; 6 items)</t>
  </si>
  <si>
    <t>CENS</t>
  </si>
  <si>
    <t>Abandoned by own state (5 items)</t>
  </si>
  <si>
    <t>ABAN</t>
  </si>
  <si>
    <t>Distrust/ betrayal/ abandonment</t>
  </si>
  <si>
    <t>AB</t>
  </si>
  <si>
    <t>DISTRUST/BETRAYAL/ABANDONMENT: anger (2 items)</t>
  </si>
  <si>
    <t>Aang</t>
  </si>
  <si>
    <t>DISTRUST/BETRAYAL/ABANDONMENT: irritation (2 items)</t>
  </si>
  <si>
    <t>Airr</t>
  </si>
  <si>
    <t>Superiority China (11 items)</t>
  </si>
  <si>
    <t>SUchi</t>
  </si>
  <si>
    <t>Superiority Russia (12 items)</t>
  </si>
  <si>
    <t>SUru</t>
  </si>
  <si>
    <t>The LGBT+ (6 items)</t>
  </si>
  <si>
    <t>LGBT</t>
  </si>
  <si>
    <t>Threat (12 items)</t>
  </si>
  <si>
    <t>THREAT: anger (3 items)</t>
  </si>
  <si>
    <t>Tang</t>
  </si>
  <si>
    <t>THREAT: worry (4 items)</t>
  </si>
  <si>
    <t>Twor</t>
  </si>
  <si>
    <t>Media consumption intentions</t>
  </si>
  <si>
    <t>MEDIA</t>
  </si>
  <si>
    <t>Media consumption intentions (3 items)</t>
  </si>
  <si>
    <t>Exploitation (5 items)</t>
  </si>
  <si>
    <t>EXP</t>
  </si>
  <si>
    <t>Fear</t>
  </si>
  <si>
    <t>FEAR: anxiety (3 items)</t>
  </si>
  <si>
    <t>Panx</t>
  </si>
  <si>
    <t>FEAR: fear (2 items)</t>
  </si>
  <si>
    <t>Pfear</t>
  </si>
  <si>
    <t>News (8 items)</t>
  </si>
  <si>
    <t>NEWS</t>
  </si>
  <si>
    <t>Immigration (7 items)</t>
  </si>
  <si>
    <t>IMIG</t>
  </si>
  <si>
    <t>Poisonous ethnocentrism (8 items)</t>
  </si>
  <si>
    <t>CET</t>
  </si>
  <si>
    <t>Pragmatism China (6 items)</t>
  </si>
  <si>
    <t>PRAGchi</t>
  </si>
  <si>
    <t>Pragmatism Russia (6 items)</t>
  </si>
  <si>
    <t>PRAGru</t>
  </si>
  <si>
    <t>variable_name</t>
  </si>
  <si>
    <t>changed in dataset</t>
  </si>
  <si>
    <t>I have a very negative feeling about how my state handles external threats</t>
  </si>
  <si>
    <t>I dislike the actions of our international allies in ensuring the safety of my state</t>
  </si>
  <si>
    <t>I like Russia</t>
  </si>
  <si>
    <t>I like China</t>
  </si>
  <si>
    <t>THR_wor1</t>
  </si>
  <si>
    <t>I’m worried that my country is being exploited by foreign countries</t>
  </si>
  <si>
    <t>THR_wor2</t>
  </si>
  <si>
    <t>I am angry when I think about how my country is being used by foreign countries</t>
  </si>
  <si>
    <t>THR_ang1</t>
  </si>
  <si>
    <t>I am angry because immigration is changing our way of life for the worse</t>
  </si>
  <si>
    <t>THR_ang2</t>
  </si>
  <si>
    <t>I feel worried because of uncontrolled immigration</t>
  </si>
  <si>
    <t>THR_wor3</t>
  </si>
  <si>
    <t>THR_wor4</t>
  </si>
  <si>
    <t>I’m outraged when thinking about the promotion of LGBT+ ideas</t>
  </si>
  <si>
    <t>THR_ang3</t>
  </si>
  <si>
    <t>In general, I distrust our international allies</t>
  </si>
  <si>
    <t>AB_dist1</t>
  </si>
  <si>
    <t>DISTRUST</t>
  </si>
  <si>
    <t>I feel disappointed by the actions of the international community in protecting my country</t>
  </si>
  <si>
    <t>AB_disap1</t>
  </si>
  <si>
    <t>I feel frustrated by how my state addresses citizens' needs</t>
  </si>
  <si>
    <t>AB_disap2</t>
  </si>
  <si>
    <t>I’m angry at my state for failing to protect the interests of its citizens</t>
  </si>
  <si>
    <t>AB_ang1</t>
  </si>
  <si>
    <t>I feel anger because the information I want to access is being censored in my country</t>
  </si>
  <si>
    <t>AB_ang2</t>
  </si>
  <si>
    <t>I'm frustrated because my state bans the media I want to access</t>
  </si>
  <si>
    <t>AB_disap3</t>
  </si>
  <si>
    <t>I feel tense when thinking about potential conflicts with countries like Russia or China</t>
  </si>
  <si>
    <t>PRAG_anx1</t>
  </si>
  <si>
    <t>PRAG_fear1</t>
  </si>
  <si>
    <t>PRAG_anx2</t>
  </si>
  <si>
    <t>To a certain extent, I admire Russia</t>
  </si>
  <si>
    <t>SUP_ru1</t>
  </si>
  <si>
    <t>SUPERIOR</t>
  </si>
  <si>
    <t>SUP_ru2</t>
  </si>
  <si>
    <t>Russia gives me hope</t>
  </si>
  <si>
    <t>SUP_ru3</t>
  </si>
  <si>
    <t>To a certain extent, I admire China</t>
  </si>
  <si>
    <t>SUP_ch1</t>
  </si>
  <si>
    <t>SUP_ch2</t>
  </si>
  <si>
    <t>China gives me hope</t>
  </si>
  <si>
    <t>SUP_ch3</t>
  </si>
  <si>
    <t>Now, you will be presented with multiple news headlines.</t>
  </si>
  <si>
    <t>Evaluate how likely in your opinion this headline is manipulated by foreign hostile countries.</t>
  </si>
  <si>
    <t>Where 1 = “This headline is certainly NOT manipulated”, 7 = “This headline is certainly manipulated”</t>
  </si>
  <si>
    <t>RecipientLastName</t>
  </si>
  <si>
    <t>Recipient Last Name</t>
  </si>
  <si>
    <t>RecipientFirstName</t>
  </si>
  <si>
    <t>Recipient First Name</t>
  </si>
  <si>
    <t>RecipientEmail</t>
  </si>
  <si>
    <t>Recipient Email</t>
  </si>
  <si>
    <t>ExternalReference</t>
  </si>
  <si>
    <t>External Data Reference</t>
  </si>
  <si>
    <t>DistributionChannel</t>
  </si>
  <si>
    <t>Distribution Channel</t>
  </si>
  <si>
    <t>UserLanguage</t>
  </si>
  <si>
    <t>User Language</t>
  </si>
  <si>
    <t>id</t>
  </si>
  <si>
    <t>Please enter your SONA id:</t>
  </si>
  <si>
    <t>gen - I have a very negative feeling about how my state handles external threats.</t>
  </si>
  <si>
    <t>gen - I dislike the actions of our international allies in ensuring the safety of my state.</t>
  </si>
  <si>
    <t>gen - I fear the consequences of provoking countries like Russia.</t>
  </si>
  <si>
    <t>gen - I fear the consequences of provoking countries like China.</t>
  </si>
  <si>
    <t>gen - I like Russia.</t>
  </si>
  <si>
    <t>gen - I trust Russia.</t>
  </si>
  <si>
    <t>gen - I like China.</t>
  </si>
  <si>
    <t>gen - I trust China.</t>
  </si>
  <si>
    <t>THR - I‚Äôm worried that our ways of life are sought to be destroyed.</t>
  </si>
  <si>
    <t>THR - I am sad because our culture, language, and identity are disappearing.</t>
  </si>
  <si>
    <t>THR - I feel a threat to the survival of our nation-state.</t>
  </si>
  <si>
    <t>THR - I hate Western liberalism.</t>
  </si>
  <si>
    <t>THR - I‚Äôm worried that my country is being exploited by foreign countries.</t>
  </si>
  <si>
    <t>THR - I am angry when I think about how my country is being used by foreign countries.</t>
  </si>
  <si>
    <t>THR - I am angry because immigration is changing our way of life for the worse.</t>
  </si>
  <si>
    <t>THR - I feel worried because of uncontrolled immigration.</t>
  </si>
  <si>
    <t>THR - I am worried about the spread of LGBT+ propaganda.</t>
  </si>
  <si>
    <t>THR - I‚Äôm outraged when thinking about the promotion LGBT+ ideas.</t>
  </si>
  <si>
    <t>THR - I‚Äôm disgusted by the LGBT+ propaganda.</t>
  </si>
  <si>
    <t>THR - I feel nostalgic for the days when moral values truly mattered to us.</t>
  </si>
  <si>
    <t>cet - Our national interests are more important than other countries' interests.</t>
  </si>
  <si>
    <t>cet - We should protect our nation's interests by any means necessary.</t>
  </si>
  <si>
    <t>cet - Preserving our culture, language, and identity as the predominant one in our country is of utmost importance for us.</t>
  </si>
  <si>
    <t>cet - Everything that is non-Lithuanian may threaten the survival of our nation-state.</t>
  </si>
  <si>
    <t>cet - Our enemies are constantly threatening our national interests.</t>
  </si>
  <si>
    <t>cet - We should protect our culture, language and identity from foreign influences.</t>
  </si>
  <si>
    <t>cet - By joining unions like the EU and NATO, we are losing our independence.</t>
  </si>
  <si>
    <t>cet - We have sold our national identity to unions like the EU and NATO.</t>
  </si>
  <si>
    <t>exp - We are unable to use our nation‚Äôs full potential because foreign countries are exploiting us.</t>
  </si>
  <si>
    <t>exp - Foreign countries are exploiting our nation‚Äôs resources.</t>
  </si>
  <si>
    <t>exp - Western liberalism is characterized by materialism and exploitation of others.</t>
  </si>
  <si>
    <t>exp - Globalization poses a big threat to our statehood and national identity.</t>
  </si>
  <si>
    <t>exp - Over the past decades, moral values have declined due to Western liberal influence.</t>
  </si>
  <si>
    <t>The LGBT+ - We should protect and enforce traditional gender roles.</t>
  </si>
  <si>
    <t>The LGBT+ - LGBT+ rights promotion is a disguised form of colonization.</t>
  </si>
  <si>
    <t>The LGBT+ - We should ban LGBT+ propaganda like Russia and Belorussia did.</t>
  </si>
  <si>
    <t>The LGBT+ - We should immediately stop promoting leftist, woke gender ideology.</t>
  </si>
  <si>
    <t>The LGBT+ - We should acknowledge biological reality that only two genders exist ‚Äì male and female.</t>
  </si>
  <si>
    <t>imi - The EU is unable to handle immigration.</t>
  </si>
  <si>
    <t>imi - Immigrants are changing Europe for the worse.</t>
  </si>
  <si>
    <t>imi - We should adopt a much harder line against immigration.</t>
  </si>
  <si>
    <t>imi - Immigrants take advantage of our country.</t>
  </si>
  <si>
    <t>imi - We should deport all immigrants to where they came from.</t>
  </si>
  <si>
    <t>imi - Immigrants are responsible for many of my country's biggest problems.</t>
  </si>
  <si>
    <t>imi - Foreigners do not belong in Lithuania.</t>
  </si>
  <si>
    <t>AB - In general, I distrust our international allies.</t>
  </si>
  <si>
    <t>AB - I feel disappointed by the actions of the international allies in protecting my country.</t>
  </si>
  <si>
    <t>AB - I feel frustrated by how my state addresses citizens' needs.</t>
  </si>
  <si>
    <t>AB - I‚Äôm angry at my state for failing to protect the interests of its citizens.</t>
  </si>
  <si>
    <t>AB - I feel sad when I think about how my country takes care of its citizens.</t>
  </si>
  <si>
    <t>AB - I hate my state because it fails to take care of its citizens.</t>
  </si>
  <si>
    <t>AB - I feel anger because the information I want to access is being censored in my country.</t>
  </si>
  <si>
    <t>AB - I'm frustrated because my state bans the media I want to access.</t>
  </si>
  <si>
    <t>unp - Our international allies are weak and have no power.</t>
  </si>
  <si>
    <t>unp - Our international allies will not be brave enough to defend our country in case of military conflict.</t>
  </si>
  <si>
    <t>unp - Our international allies will ultimately betray us.</t>
  </si>
  <si>
    <t>unp - The unity of the international allies will be torn apart by internal conflicts.</t>
  </si>
  <si>
    <t>aban - My state has abandoned its citizens.</t>
  </si>
  <si>
    <t>aban - My state is exploiting its citizens.</t>
  </si>
  <si>
    <t>aban - My state is a failed state.</t>
  </si>
  <si>
    <t>aban - I don't think that my state takes good care of us.</t>
  </si>
  <si>
    <t>aban - My state is not able to ensure jobs and fair income for everyone.</t>
  </si>
  <si>
    <t>cen - My state is censoring access to truthful information.</t>
  </si>
  <si>
    <t>cen - My state is supporting media you cannot trust.</t>
  </si>
  <si>
    <t>cen - My state actively restricts my freedom of opinion.</t>
  </si>
  <si>
    <t>cen - All mainstream media are lying to us.</t>
  </si>
  <si>
    <t>cen - Mainstream media are trying to brainwash citizens of my country.</t>
  </si>
  <si>
    <t>cen - Mainstream media are useless in providing truthful and accurate information.</t>
  </si>
  <si>
    <t>FEAR - I feel tense when thinking about potential conflicts with countries like Russia or China.</t>
  </si>
  <si>
    <t>FEAR - I would feel safer if peace with countries like Russia is struck at any cost.</t>
  </si>
  <si>
    <t>FEAR - I would feel safer if peace with countries like China is struck at any cost.</t>
  </si>
  <si>
    <t>FEAR - I‚Äôm anxious about the consequences of a conflict with countries like Russia.</t>
  </si>
  <si>
    <t>FEAR - I‚Äôm anxious about the consequences of a conflict with countries like China.</t>
  </si>
  <si>
    <t>FEAR - I am angry that we are risking the safety of its citizens by getting involved in a reckless conflict with other countries.</t>
  </si>
  <si>
    <t>Pragm Russia - It is a mistake that we are not allowed to collaborate with such states as Russia.</t>
  </si>
  <si>
    <t>Pragm Russia - Countries like Ukraine should finally start building good relations with Russia.</t>
  </si>
  <si>
    <t>Pragm Russia - We should not become enemies with countries like Russia.</t>
  </si>
  <si>
    <t>Pragm Russia - The West should not behave aggressively towards countries like Russia.</t>
  </si>
  <si>
    <t>Pragm Russia - Countries like Russia never attack without being provoked.</t>
  </si>
  <si>
    <t>Pragm Russia - Russia is like a sleeping bear that we should not wake up.</t>
  </si>
  <si>
    <t>PRG CHINA - It is a mistake that we are not allowed to collaborate with states such as China.</t>
  </si>
  <si>
    <t>PRG CHINA - Taiwan should finally stop provoking China.</t>
  </si>
  <si>
    <t>PRG CHINA - We should not become enemies with countries like China.</t>
  </si>
  <si>
    <t>PRG CHINA - The West should not behave aggressively towards countries like China.</t>
  </si>
  <si>
    <t>PRG CHINA - Countries like China never attack without being provoked.</t>
  </si>
  <si>
    <t>PRG CHINA - China is like a sleeping dragon that we should not wake up.</t>
  </si>
  <si>
    <t>Superiority - To a certain extent, I admire Russia.</t>
  </si>
  <si>
    <t>Superiority - Sometimes, I feel inspired by the actions of Russia.</t>
  </si>
  <si>
    <t>Superiority - Russia gives me hope.</t>
  </si>
  <si>
    <t>Superiority - I respect Russia.</t>
  </si>
  <si>
    <t>Superiority - To a certain extent, I admire China.</t>
  </si>
  <si>
    <t>Superiority - Sometimes, I feel inspired by the actions of China.</t>
  </si>
  <si>
    <t>Superiority - China gives me hope.</t>
  </si>
  <si>
    <t>Superiority - I respect China.</t>
  </si>
  <si>
    <t>SPR Russia - Russia has an important historic mission.</t>
  </si>
  <si>
    <t>SPR Russia - Russia will reemerge as the most powerful country in the world.</t>
  </si>
  <si>
    <t>SPR Russia - Russia is technologically advanced.</t>
  </si>
  <si>
    <t>SPR Russia - Russia has innovative military technologies.</t>
  </si>
  <si>
    <t>SPR Russia - Russia represents a unique Slavic civilization.</t>
  </si>
  <si>
    <t>SPR Russia - Russian culture is a superior culture.</t>
  </si>
  <si>
    <t>SPR Russia - Russia is the last bastion of anti-systemic and anti-global forces in Europe.</t>
  </si>
  <si>
    <t>SPR Russia - Russia is able to defend its core values.</t>
  </si>
  <si>
    <t>SPR Russia - Russia is able to take good care of its citizens.</t>
  </si>
  <si>
    <t>SPR Russia - Russia has a unique spiritual potential.</t>
  </si>
  <si>
    <t>SPR Russia - Russia draws its strength from its places of spiritual importance.</t>
  </si>
  <si>
    <t>SPR Russia - Russia will protect us if needed.</t>
  </si>
  <si>
    <t>SPR China - China has an important historic mission.</t>
  </si>
  <si>
    <t>SPR China - China will reemerge as the most powerful country in the world.</t>
  </si>
  <si>
    <t>SPR China - China will soon have full control over the world economy.</t>
  </si>
  <si>
    <t>SPR China - China is technologically advanced.</t>
  </si>
  <si>
    <t>SPR China - China has innovative military technologies.</t>
  </si>
  <si>
    <t>SPR China - China represents a unique civilization.</t>
  </si>
  <si>
    <t>SPR China - Chinese culture is a superior culture.</t>
  </si>
  <si>
    <t>SPR China - China is successfully reshaping the global system for its own purposes.</t>
  </si>
  <si>
    <t>SPR China - China is able to defend its core values.</t>
  </si>
  <si>
    <t>SPR China - China is able to take good care of its citizens.</t>
  </si>
  <si>
    <t>SPR China - China will protect us if needed.</t>
  </si>
  <si>
    <t>CMQ, Bruder 2013_1</t>
  </si>
  <si>
    <t>Below are some statements about social and political life. Please indicate how likely you think each of these statements is to be true. - I think that many very important things happen in the world, which the public is never informed about.</t>
  </si>
  <si>
    <t>CMQ, Bruder 2013_2</t>
  </si>
  <si>
    <t>Below are some statements about social and political life. Please indicate how likely you think each of these statements is to be true. - I think that politicians usually do not tell us the true motives for their decisions.</t>
  </si>
  <si>
    <t>CMQ, Bruder 2013_3</t>
  </si>
  <si>
    <t>Below are some statements about social and political life. Please indicate how likely you think each of these statements is to be true. - I think that government agencies closely monitor all citizens.</t>
  </si>
  <si>
    <t>CMQ, Bruder 2013_4</t>
  </si>
  <si>
    <t>Below are some statements about social and political life. Please indicate how likely you think each of these statements is to be true. - I think that events which superficially seem to lack a connection are often the result of secret activities.</t>
  </si>
  <si>
    <t>CMQ, Bruder 2013_5</t>
  </si>
  <si>
    <t>Below are some statements about social and political life. Please indicate how likely you think each of these statements is to be true. - I think that there are secret organizations that greatly influence political decisions.</t>
  </si>
  <si>
    <t>Populist attitudes_1</t>
  </si>
  <si>
    <t>Please indicate how much you agree with the statements below. - Politicians should always listen closely to the problems of the people</t>
  </si>
  <si>
    <t>Populist attitudes_2</t>
  </si>
  <si>
    <t>Please indicate how much you agree with the statements below. - Politicians don't have to spend time among ordinary people to do a good job</t>
  </si>
  <si>
    <t>Populist attitudes_3</t>
  </si>
  <si>
    <t>Please indicate how much you agree with the statements below. - The will of the people should be the highest principle in this country's politics</t>
  </si>
  <si>
    <t>Populist attitudes_4</t>
  </si>
  <si>
    <t>Please indicate how much you agree with the statements below. - The government is pretty much run by a few big interests looking out for themselves.</t>
  </si>
  <si>
    <t>Populist attitudes_5</t>
  </si>
  <si>
    <t>Please indicate how much you agree with the statements below. - My birthday is on February 30.</t>
  </si>
  <si>
    <t>Populist attitudes_6</t>
  </si>
  <si>
    <t>Please indicate how much you agree with the statements below. - Government officials use their power to try to improve people's lives.</t>
  </si>
  <si>
    <t>Populist attitudes_7</t>
  </si>
  <si>
    <t>Please indicate how much you agree with the statements below. - Quite a few of the people running the government are crooked.</t>
  </si>
  <si>
    <t>Populist attitudes_8</t>
  </si>
  <si>
    <t>Please indicate how much you agree with the statements below. - You can tell if a person is good or bad if you know their politics.</t>
  </si>
  <si>
    <t>Populist attitudes_9</t>
  </si>
  <si>
    <t>Please indicate how much you agree with the statements below. - The people I disagree with politically are not evil.</t>
  </si>
  <si>
    <t>Populist attitudes_10</t>
  </si>
  <si>
    <t>Please indicate how much you agree with the statements below. - The people I disagree with politically are just misinformed.</t>
  </si>
  <si>
    <t>Political trust_1</t>
  </si>
  <si>
    <t>On a scale of 0-10 how much you personally trust each
 of the institutions? - Parliament</t>
  </si>
  <si>
    <t>Political trust_2</t>
  </si>
  <si>
    <t>On a scale of 0-10 how much you personally trust each
 of the institutions? - The Legal System</t>
  </si>
  <si>
    <t>Political trust_3</t>
  </si>
  <si>
    <t>On a scale of 0-10 how much you personally trust each
 of the institutions? - The Police</t>
  </si>
  <si>
    <t>Political trust_4</t>
  </si>
  <si>
    <t>On a scale of 0-10 how much you personally trust each
 of the institutions? - Politicians</t>
  </si>
  <si>
    <t>Political trust_5</t>
  </si>
  <si>
    <t>On a scale of 0-10 how much you personally trust each
 of the institutions? - Political Parties</t>
  </si>
  <si>
    <t>Political trust_6</t>
  </si>
  <si>
    <t>On a scale of 0-10 how much you personally trust each
 of the institutions? - The European Parliament</t>
  </si>
  <si>
    <t>Political trust_7</t>
  </si>
  <si>
    <t>On a scale of 0-10 how much you personally trust each
 of the institutions? - The United Nations</t>
  </si>
  <si>
    <t>Favourability1_1</t>
  </si>
  <si>
    <t>Rate how you feel about these organizations and countries using a scale of 0 to 100.
 The higher the number, the warmer or more favorable you feel toward that organization, the lower the number, the colder or less favorable you feel. You can pick any number between 0 and 100. - EU</t>
  </si>
  <si>
    <t>Favourability1_2</t>
  </si>
  <si>
    <t>Rate how you feel about these organizations and countries using a scale of 0 to 100.
 The higher the number, the warmer or more favorable you feel toward that organization, the lower the number, the colder or less favorable you feel. You can pick any number between 0 and 100. - NATO</t>
  </si>
  <si>
    <t>Favourability1_3</t>
  </si>
  <si>
    <t>Rate how you feel about these organizations and countries using a scale of 0 to 100.
 The higher the number, the warmer or more favorable you feel toward that organization, the lower the number, the colder or less favorable you feel. You can pick any number between 0 and 100. - Russia</t>
  </si>
  <si>
    <t>Favourability1_4</t>
  </si>
  <si>
    <t>Rate how you feel about these organizations and countries using a scale of 0 to 100.
 The higher the number, the warmer or more favorable you feel toward that organization, the lower the number, the colder or less favorable you feel. You can pick any number between 0 and 100. - China</t>
  </si>
  <si>
    <t>VSA_1</t>
  </si>
  <si>
    <t>Please indicate the level of your agreement with the statements below. - It's great that many young people today are prepared to defy authority.</t>
  </si>
  <si>
    <t>VSA_2</t>
  </si>
  <si>
    <t>Please indicate the level of your agreement with the statements below. - What our country needs most is discipline, with everyone following our leaders in unity.</t>
  </si>
  <si>
    <t>VSA_3</t>
  </si>
  <si>
    <t>Please indicate the level of your agreement with the statements below. - God's laws about abortion, pornography, and marriage must be strictly followed before it is too late.</t>
  </si>
  <si>
    <t>VSA_4</t>
  </si>
  <si>
    <t>Please indicate the level of your agreement with the statements below. - There is nothing wrong with premarital sexual intercourse.</t>
  </si>
  <si>
    <t>VSA_5</t>
  </si>
  <si>
    <t>Please indicate the level of your agreement with the statements below. - Our society does NOT need tougher government and stricter laws.</t>
  </si>
  <si>
    <t>VSA_6</t>
  </si>
  <si>
    <t>Please indicate the level of your agreement with the statements below. - The facts on crime and the recent public disorders show we have to crack down harder on troublemakers, if we are going to preserve law and order.</t>
  </si>
  <si>
    <t>Symbolic threatImmi_1</t>
  </si>
  <si>
    <t>Please indicate the level of your agreement with the statements below. - The national identity of my home country is being threatened because there are too many immigrants.</t>
  </si>
  <si>
    <t>Symbolic threatImmi_2</t>
  </si>
  <si>
    <t>Please indicate the level of your agreement with the statements below. - The norms and values of my home country are being threatened because of the presence of immigrants.</t>
  </si>
  <si>
    <t>Symbolic threatImmi_3</t>
  </si>
  <si>
    <t>Please indicate the level of your agreement with the statements below. - Immigrants are a threat to the culture of my home country.</t>
  </si>
  <si>
    <t>Realistic threatImmi_1</t>
  </si>
  <si>
    <t>Please indicate how much you agree or disagree with the following statements about immigrants in your country - Because of the presence of immigrants, people in my home country have more difficulties in finding a job.</t>
  </si>
  <si>
    <t>Realistic threatImmi_2</t>
  </si>
  <si>
    <t>Please indicate how much you agree or disagree with the following statements about immigrants in your country - Because of the presence of immigrants, people in my home country have more difficulties in finding a house.</t>
  </si>
  <si>
    <t>Realistic threatImmi_3</t>
  </si>
  <si>
    <t>Please indicate how much you agree or disagree with the following statements about immigrants in your country - Because of the presence of immigrants, unemployment in my home country will increase.</t>
  </si>
  <si>
    <t>RealisticThreatLGBTQ_1</t>
  </si>
  <si>
    <t>Please select which of the following best describes your opinions on the following statements - LGBT people are a safety threat when they use public restrooms or changing rooms.</t>
  </si>
  <si>
    <t>RealisticThreatLGBTQ_2</t>
  </si>
  <si>
    <t>Please select which of the following best describes your opinions on the following statements - Working with a LGBT person could put my job at risk.</t>
  </si>
  <si>
    <t>RealisticThreatLGBTQ_3</t>
  </si>
  <si>
    <t>Please select which of the following best describes your opinions on the following statements - LGBT people hold too many positions of power and responsibility in this country.</t>
  </si>
  <si>
    <t>RealisticThreatLGBTQ_4</t>
  </si>
  <si>
    <t>Please select which of the following best describes your opinions on the following statements - LGBT people pose a danger to children.</t>
  </si>
  <si>
    <t>SymbolicThreatLGBT_1</t>
  </si>
  <si>
    <t>Please select which of the following best describes your opinions on the following statements - LGBT people are undermining our culture.</t>
  </si>
  <si>
    <t>SymbolicThreatLGBT_2</t>
  </si>
  <si>
    <t>Please select which of the following best describes your opinions on the following statements - LGBT people are violating social norms.</t>
  </si>
  <si>
    <t>SymbolicThreatLGBT_3</t>
  </si>
  <si>
    <t>Please select which of the following best describes your opinions on the following statements - LGBT people impose their values on heterosexuals.</t>
  </si>
  <si>
    <t>SymbolicThreatLGBT_4</t>
  </si>
  <si>
    <t>Please select which of the following best describes your opinions on the following statements - LGBT people are undermining heterosexual marriages.</t>
  </si>
  <si>
    <t>PANAS 1_1</t>
  </si>
  <si>
    <t>Indicate to what extent you generally feel this way, that is, how you feel on average. - Active</t>
  </si>
  <si>
    <t>PANAS 1_2</t>
  </si>
  <si>
    <t>Indicate to what extent you generally feel this way, that is, how you feel on average. - Determined</t>
  </si>
  <si>
    <t>PANAS 1_3</t>
  </si>
  <si>
    <t>Indicate to what extent you generally feel this way, that is, how you feel on average. - Attentive</t>
  </si>
  <si>
    <t>PANAS 1_4</t>
  </si>
  <si>
    <t>Indicate to what extent you generally feel this way, that is, how you feel on average. - Inspired</t>
  </si>
  <si>
    <t>PANAS 1_5</t>
  </si>
  <si>
    <t>Indicate to what extent you generally feel this way, that is, how you feel on average. - Alert</t>
  </si>
  <si>
    <t>PANAS 1_6</t>
  </si>
  <si>
    <t>Indicate to what extent you generally feel this way, that is, how you feel on average. - Afraid</t>
  </si>
  <si>
    <t>PANAS 1_7</t>
  </si>
  <si>
    <t>Indicate to what extent you generally feel this way, that is, how you feel on average. - Nervous</t>
  </si>
  <si>
    <t>PANAS 1_8</t>
  </si>
  <si>
    <t>Indicate to what extent you generally feel this way, that is, how you feel on average. - Upset</t>
  </si>
  <si>
    <t>PANAS 1_9</t>
  </si>
  <si>
    <t>Indicate to what extent you generally feel this way, that is, how you feel on average. - Hostile</t>
  </si>
  <si>
    <t>PANAS 1_10</t>
  </si>
  <si>
    <t>Indicate to what extent you generally feel this way, that is, how you feel on average. - Ashamed</t>
  </si>
  <si>
    <t>Response bias</t>
  </si>
  <si>
    <t>The data quality of this study is very important to us. Bad-quality data could lead to incorrect conclusions. Therefore, we would like to know whether we can trust your answers. We would appreciate your honest response. We will not penalize your participation, even if you indicate "No."
 Did you answer all the questions seriously?</t>
  </si>
  <si>
    <t>Q44_1</t>
  </si>
  <si>
    <t>Please evaluate your knowledge of English - 1</t>
  </si>
  <si>
    <t>Nationality</t>
  </si>
  <si>
    <t>Please indicate your nationality: - Selected Choice</t>
  </si>
  <si>
    <t>Nationality_3_TEXT</t>
  </si>
  <si>
    <t>Please indicate your nationality: - Other [please indicate] - Text</t>
  </si>
  <si>
    <t>Gender</t>
  </si>
  <si>
    <t>Please indicate your gender: - Selected Choice</t>
  </si>
  <si>
    <t>Gender_4_TEXT</t>
  </si>
  <si>
    <t>Please indicate your gender: - Prefer to self-describe: - Text</t>
  </si>
  <si>
    <t>Age</t>
  </si>
  <si>
    <t>taskData</t>
  </si>
  <si>
    <t>CONVERGENT_DO</t>
  </si>
  <si>
    <t>CONVERGENT - Display Order</t>
  </si>
</sst>
</file>

<file path=xl/styles.xml><?xml version="1.0" encoding="utf-8"?>
<styleSheet xmlns="http://schemas.openxmlformats.org/spreadsheetml/2006/main" xmlns:x14ac="http://schemas.microsoft.com/office/spreadsheetml/2009/9/ac" xmlns:mc="http://schemas.openxmlformats.org/markup-compatibility/2006">
  <fonts count="13">
    <font>
      <sz val="12.0"/>
      <color theme="1"/>
      <name val="Aptos Narrow"/>
      <scheme val="minor"/>
    </font>
    <font>
      <color rgb="FFFFFFFF"/>
      <name val="Aptos Narrow"/>
      <scheme val="minor"/>
    </font>
    <font>
      <sz val="12.0"/>
      <color rgb="FFFFFFFF"/>
      <name val="Aptos Narrow"/>
    </font>
    <font>
      <color rgb="FFFFFFFF"/>
      <name val="Arial"/>
    </font>
    <font>
      <color theme="1"/>
      <name val="Aptos Narrow"/>
      <scheme val="minor"/>
    </font>
    <font>
      <sz val="12.0"/>
      <color theme="1"/>
      <name val="Aptos Narrow"/>
    </font>
    <font>
      <sz val="12.0"/>
      <color theme="1"/>
      <name val="Arial"/>
    </font>
    <font>
      <sz val="12.0"/>
      <color rgb="FF000000"/>
      <name val="&quot;Aptos Narrow&quot;"/>
    </font>
    <font>
      <sz val="12.0"/>
      <color rgb="FF00B050"/>
      <name val="Aptos Narrow"/>
    </font>
    <font>
      <sz val="11.0"/>
      <color rgb="FF32363A"/>
      <name val="Arial"/>
    </font>
    <font>
      <color theme="1"/>
      <name val="Arial"/>
    </font>
    <font>
      <sz val="11.0"/>
      <color rgb="FF32363A"/>
      <name val="&quot;72&quot;"/>
    </font>
    <font>
      <sz val="12.0"/>
      <color rgb="FF000000"/>
      <name val="Arial"/>
    </font>
  </fonts>
  <fills count="6">
    <fill>
      <patternFill patternType="none"/>
    </fill>
    <fill>
      <patternFill patternType="lightGray"/>
    </fill>
    <fill>
      <patternFill patternType="solid">
        <fgColor theme="1"/>
        <bgColor theme="1"/>
      </patternFill>
    </fill>
    <fill>
      <patternFill patternType="solid">
        <fgColor theme="0"/>
        <bgColor theme="0"/>
      </patternFill>
    </fill>
    <fill>
      <patternFill patternType="solid">
        <fgColor rgb="FFFFFFFF"/>
        <bgColor rgb="FFFFFFFF"/>
      </patternFill>
    </fill>
    <fill>
      <patternFill patternType="solid">
        <fgColor rgb="FFFF0000"/>
        <bgColor rgb="FFFF0000"/>
      </patternFill>
    </fill>
  </fills>
  <borders count="8">
    <border/>
    <border>
      <right style="thin">
        <color rgb="FF000000"/>
      </right>
    </border>
    <border>
      <left style="thin">
        <color rgb="FF000000"/>
      </left>
    </border>
    <border>
      <left/>
      <right/>
      <top/>
      <bottom/>
    </border>
    <border>
      <left/>
      <right style="thin">
        <color rgb="FF000000"/>
      </right>
      <top/>
      <bottom/>
    </border>
    <border>
      <left/>
      <top/>
      <bottom/>
    </border>
    <border>
      <right/>
      <top/>
      <bottom/>
    </border>
    <border>
      <left style="thin">
        <color rgb="FF000000"/>
      </left>
      <right/>
      <top/>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2" fontId="1" numFmtId="0" xfId="0" applyFill="1" applyFont="1"/>
    <xf borderId="1" fillId="2" fontId="2" numFmtId="0" xfId="0" applyBorder="1" applyFont="1"/>
    <xf borderId="0" fillId="2" fontId="3" numFmtId="0" xfId="0" applyAlignment="1" applyFont="1">
      <alignment readingOrder="0"/>
    </xf>
    <xf borderId="2" fillId="2" fontId="2" numFmtId="0" xfId="0" applyBorder="1" applyFont="1"/>
    <xf borderId="0" fillId="3" fontId="4" numFmtId="0" xfId="0" applyFill="1" applyFont="1"/>
    <xf borderId="1" fillId="3" fontId="5" numFmtId="0" xfId="0" applyBorder="1" applyFont="1"/>
    <xf borderId="2" fillId="3" fontId="5" numFmtId="0" xfId="0" applyBorder="1" applyFont="1"/>
    <xf borderId="2" fillId="3" fontId="6" numFmtId="0" xfId="0" applyAlignment="1" applyBorder="1" applyFont="1">
      <alignment readingOrder="0"/>
    </xf>
    <xf borderId="3" fillId="3" fontId="5" numFmtId="0" xfId="0" applyBorder="1" applyFont="1"/>
    <xf borderId="0" fillId="3" fontId="7" numFmtId="0" xfId="0" applyAlignment="1" applyFont="1">
      <alignment readingOrder="0" shrinkToFit="0" vertical="bottom" wrapText="0"/>
    </xf>
    <xf borderId="0" fillId="3" fontId="5" numFmtId="0" xfId="0" applyFont="1"/>
    <xf borderId="0" fillId="3" fontId="8" numFmtId="0" xfId="0" applyFont="1"/>
    <xf borderId="0" fillId="4" fontId="9" numFmtId="0" xfId="0" applyAlignment="1" applyFill="1" applyFont="1">
      <alignment readingOrder="0"/>
    </xf>
    <xf borderId="0" fillId="3" fontId="10" numFmtId="0" xfId="0" applyAlignment="1" applyFont="1">
      <alignment readingOrder="0"/>
    </xf>
    <xf borderId="3" fillId="3" fontId="6" numFmtId="0" xfId="0" applyAlignment="1" applyBorder="1" applyFont="1">
      <alignment readingOrder="0"/>
    </xf>
    <xf borderId="0" fillId="5" fontId="4" numFmtId="0" xfId="0" applyFill="1" applyFont="1"/>
    <xf borderId="0" fillId="3" fontId="6" numFmtId="0" xfId="0" applyAlignment="1" applyFont="1">
      <alignment readingOrder="0"/>
    </xf>
    <xf borderId="0" fillId="5" fontId="10" numFmtId="0" xfId="0" applyAlignment="1" applyFont="1">
      <alignment readingOrder="0"/>
    </xf>
    <xf borderId="4" fillId="3" fontId="5" numFmtId="0" xfId="0" applyBorder="1" applyFont="1"/>
    <xf borderId="5" fillId="3" fontId="5" numFmtId="0" xfId="0" applyBorder="1" applyFont="1"/>
    <xf borderId="6" fillId="3" fontId="5" numFmtId="0" xfId="0" applyBorder="1" applyFont="1"/>
    <xf borderId="7" fillId="3" fontId="5" numFmtId="0" xfId="0" applyBorder="1" applyFont="1"/>
    <xf borderId="0" fillId="0" fontId="4" numFmtId="0" xfId="0" applyFont="1"/>
    <xf borderId="0" fillId="0" fontId="10" numFmtId="0" xfId="0" applyAlignment="1" applyFont="1">
      <alignment readingOrder="0"/>
    </xf>
    <xf borderId="0" fillId="4" fontId="11" numFmtId="0" xfId="0" applyAlignment="1" applyFont="1">
      <alignment readingOrder="0"/>
    </xf>
    <xf borderId="3" fillId="0" fontId="6" numFmtId="0" xfId="0" applyAlignment="1" applyBorder="1" applyFont="1">
      <alignment readingOrder="0"/>
    </xf>
    <xf borderId="0" fillId="0" fontId="4" numFmtId="0" xfId="0" applyAlignment="1" applyFont="1">
      <alignment readingOrder="0"/>
    </xf>
    <xf borderId="0" fillId="0" fontId="7" numFmtId="0" xfId="0" applyAlignment="1" applyFont="1">
      <alignment readingOrder="0" shrinkToFit="0" vertical="bottom" wrapText="0"/>
    </xf>
    <xf borderId="3" fillId="5" fontId="5" numFmtId="0" xfId="0" applyBorder="1" applyFont="1"/>
    <xf borderId="0" fillId="0" fontId="4" numFmtId="0" xfId="0" applyFont="1"/>
    <xf borderId="1" fillId="0" fontId="5" numFmtId="0" xfId="0" applyBorder="1" applyFont="1"/>
    <xf borderId="0" fillId="0" fontId="5" numFmtId="0" xfId="0" applyFont="1"/>
    <xf borderId="0" fillId="5" fontId="5" numFmtId="0" xfId="0" applyFont="1"/>
    <xf borderId="0" fillId="0" fontId="12" numFmtId="0" xfId="0" applyAlignment="1" applyFont="1">
      <alignment readingOrder="0" shrinkToFit="0" vertical="bottom" wrapText="0"/>
    </xf>
    <xf borderId="0" fillId="0" fontId="7" numFmtId="0" xfId="0" applyAlignment="1" applyFont="1">
      <alignment readingOrder="0" vertical="bottom"/>
    </xf>
  </cellXfs>
  <cellStyles count="1">
    <cellStyle xfId="0" name="Normal" builtinId="0"/>
  </cellStyles>
  <dxfs count="3">
    <dxf>
      <font/>
      <fill>
        <patternFill patternType="none"/>
      </fill>
      <border/>
    </dxf>
    <dxf>
      <font/>
      <fill>
        <patternFill patternType="solid">
          <fgColor rgb="FFD0D0D0"/>
          <bgColor rgb="FFD0D0D0"/>
        </patternFill>
      </fill>
      <border/>
    </dxf>
    <dxf>
      <font/>
      <fill>
        <patternFill patternType="solid">
          <fgColor theme="0"/>
          <bgColor theme="0"/>
        </patternFill>
      </fill>
      <border/>
    </dxf>
  </dxfs>
  <tableStyles count="1">
    <tableStyle count="2" pivot="0" name="S5_validation-style">
      <tableStyleElement dxfId="2"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B20:J137" displayName="Table_1" name="Table_1" id="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S5_validatio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2.67"/>
    <col customWidth="1" min="2" max="2" width="16.33"/>
    <col customWidth="1" min="3" max="3" width="14.89"/>
    <col customWidth="1" min="4" max="4" width="14.22"/>
    <col customWidth="1" min="5" max="8" width="13.33"/>
    <col customWidth="1" min="9" max="9" width="10.56"/>
    <col customWidth="1" min="10" max="10" width="21.33"/>
    <col customWidth="1" min="11" max="12" width="14.56"/>
    <col customWidth="1" min="13" max="13" width="27.11"/>
    <col customWidth="1" min="14" max="16" width="13.33"/>
    <col customWidth="1" min="17" max="26" width="10.56"/>
  </cols>
  <sheetData>
    <row r="1" ht="15.75" customHeight="1">
      <c r="A1" s="1" t="s">
        <v>0</v>
      </c>
      <c r="B1" s="1" t="s">
        <v>1</v>
      </c>
      <c r="C1" s="2" t="s">
        <v>2</v>
      </c>
      <c r="D1" s="3" t="s">
        <v>3</v>
      </c>
      <c r="E1" s="1" t="s">
        <v>4</v>
      </c>
      <c r="F1" s="3" t="s">
        <v>5</v>
      </c>
      <c r="G1" s="1" t="s">
        <v>6</v>
      </c>
      <c r="H1" s="3" t="s">
        <v>7</v>
      </c>
      <c r="I1" s="1" t="s">
        <v>8</v>
      </c>
      <c r="J1" s="3" t="s">
        <v>9</v>
      </c>
      <c r="K1" s="3" t="s">
        <v>10</v>
      </c>
      <c r="L1" s="3" t="s">
        <v>11</v>
      </c>
      <c r="M1" s="4" t="s">
        <v>12</v>
      </c>
      <c r="N1" s="3" t="s">
        <v>13</v>
      </c>
      <c r="O1" s="3" t="s">
        <v>14</v>
      </c>
      <c r="P1" s="1" t="s">
        <v>15</v>
      </c>
      <c r="Q1" s="1" t="s">
        <v>16</v>
      </c>
    </row>
    <row r="2" ht="15.75" customHeight="1">
      <c r="A2" s="5" t="s">
        <v>17</v>
      </c>
      <c r="B2" s="5"/>
      <c r="C2" s="6"/>
      <c r="D2" s="5"/>
      <c r="E2" s="5" t="s">
        <v>18</v>
      </c>
      <c r="F2" s="5" t="str">
        <f>IFERROR(__xludf.DUMMYFUNCTION("REGEXEXTRACT(E2, ""^[^0-9]+"")"),"exp")</f>
        <v>exp</v>
      </c>
      <c r="G2" s="5" t="s">
        <v>19</v>
      </c>
      <c r="H2" s="5" t="s">
        <v>19</v>
      </c>
      <c r="I2" s="5" t="s">
        <v>19</v>
      </c>
      <c r="J2" s="5" t="s">
        <v>19</v>
      </c>
      <c r="K2" s="5" t="s">
        <v>19</v>
      </c>
      <c r="L2" s="5" t="s">
        <v>19</v>
      </c>
      <c r="M2" s="7" t="s">
        <v>20</v>
      </c>
      <c r="N2" s="8"/>
      <c r="O2" s="8" t="s">
        <v>21</v>
      </c>
      <c r="P2" s="8" t="s">
        <v>22</v>
      </c>
      <c r="Q2" s="5" t="s">
        <v>19</v>
      </c>
    </row>
    <row r="3" ht="15.75" customHeight="1">
      <c r="A3" s="5" t="s">
        <v>23</v>
      </c>
      <c r="B3" s="5" t="s">
        <v>24</v>
      </c>
      <c r="C3" s="6"/>
      <c r="D3" s="5"/>
      <c r="E3" s="5" t="s">
        <v>25</v>
      </c>
      <c r="F3" s="5" t="str">
        <f>IFERROR(__xludf.DUMMYFUNCTION("REGEXEXTRACT(E3, ""^[^0-9]+"")"),"poi")</f>
        <v>poi</v>
      </c>
      <c r="G3" s="9" t="s">
        <v>18</v>
      </c>
      <c r="H3" s="5" t="s">
        <v>19</v>
      </c>
      <c r="I3" s="9" t="s">
        <v>18</v>
      </c>
      <c r="J3" s="5" t="s">
        <v>19</v>
      </c>
      <c r="K3" s="10" t="s">
        <v>26</v>
      </c>
      <c r="L3" s="9" t="s">
        <v>18</v>
      </c>
      <c r="M3" s="7" t="s">
        <v>20</v>
      </c>
      <c r="N3" s="8" t="s">
        <v>27</v>
      </c>
      <c r="O3" s="7"/>
      <c r="P3" s="7"/>
      <c r="Q3" s="5" t="s">
        <v>19</v>
      </c>
    </row>
    <row r="4" ht="15.75" customHeight="1">
      <c r="A4" s="5" t="s">
        <v>28</v>
      </c>
      <c r="B4" s="5"/>
      <c r="C4" s="6"/>
      <c r="D4" s="11"/>
      <c r="E4" s="9" t="s">
        <v>29</v>
      </c>
      <c r="F4" s="5" t="str">
        <f>IFERROR(__xludf.DUMMYFUNCTION("REGEXEXTRACT(E4, ""^[^0-9]+"")"),"exp")</f>
        <v>exp</v>
      </c>
      <c r="G4" s="5" t="s">
        <v>29</v>
      </c>
      <c r="H4" s="5" t="s">
        <v>19</v>
      </c>
      <c r="I4" s="5" t="s">
        <v>29</v>
      </c>
      <c r="J4" s="5" t="s">
        <v>19</v>
      </c>
      <c r="K4" s="10" t="s">
        <v>30</v>
      </c>
      <c r="L4" s="5" t="s">
        <v>29</v>
      </c>
      <c r="M4" s="7" t="s">
        <v>20</v>
      </c>
      <c r="N4" s="7"/>
      <c r="O4" s="7"/>
      <c r="P4" s="7"/>
      <c r="Q4" s="5" t="s">
        <v>19</v>
      </c>
    </row>
    <row r="5" ht="15.75" customHeight="1">
      <c r="A5" s="5" t="s">
        <v>31</v>
      </c>
      <c r="B5" s="5" t="s">
        <v>32</v>
      </c>
      <c r="C5" s="6"/>
      <c r="D5" s="5"/>
      <c r="E5" s="5" t="s">
        <v>33</v>
      </c>
      <c r="F5" s="5" t="str">
        <f>IFERROR(__xludf.DUMMYFUNCTION("REGEXEXTRACT(E5, ""^[^0-9]+"")"),"exp")</f>
        <v>exp</v>
      </c>
      <c r="G5" s="5" t="s">
        <v>33</v>
      </c>
      <c r="H5" s="5" t="s">
        <v>19</v>
      </c>
      <c r="I5" s="5" t="s">
        <v>33</v>
      </c>
      <c r="J5" s="5" t="s">
        <v>19</v>
      </c>
      <c r="K5" s="10" t="s">
        <v>34</v>
      </c>
      <c r="L5" s="5" t="s">
        <v>33</v>
      </c>
      <c r="M5" s="7" t="s">
        <v>20</v>
      </c>
      <c r="N5" s="8" t="s">
        <v>27</v>
      </c>
      <c r="O5" s="7"/>
      <c r="P5" s="7"/>
      <c r="Q5" s="5" t="s">
        <v>19</v>
      </c>
    </row>
    <row r="6" ht="15.75" customHeight="1">
      <c r="A6" s="5" t="s">
        <v>35</v>
      </c>
      <c r="B6" s="5"/>
      <c r="C6" s="6"/>
      <c r="D6" s="5"/>
      <c r="E6" s="5" t="s">
        <v>36</v>
      </c>
      <c r="F6" s="5" t="str">
        <f>IFERROR(__xludf.DUMMYFUNCTION("REGEXEXTRACT(E6, ""^[^0-9]+"")"),"exp")</f>
        <v>exp</v>
      </c>
      <c r="G6" s="5" t="s">
        <v>36</v>
      </c>
      <c r="H6" s="5" t="s">
        <v>19</v>
      </c>
      <c r="I6" s="5" t="s">
        <v>36</v>
      </c>
      <c r="J6" s="5" t="s">
        <v>19</v>
      </c>
      <c r="K6" s="10" t="s">
        <v>37</v>
      </c>
      <c r="L6" s="5" t="s">
        <v>36</v>
      </c>
      <c r="M6" s="7" t="s">
        <v>20</v>
      </c>
      <c r="N6" s="8" t="s">
        <v>27</v>
      </c>
      <c r="O6" s="7"/>
      <c r="P6" s="7"/>
      <c r="Q6" s="5" t="s">
        <v>19</v>
      </c>
    </row>
    <row r="7" ht="15.75" customHeight="1">
      <c r="A7" s="5" t="s">
        <v>38</v>
      </c>
      <c r="B7" s="5" t="s">
        <v>39</v>
      </c>
      <c r="C7" s="6"/>
      <c r="D7" s="5"/>
      <c r="E7" s="5" t="s">
        <v>40</v>
      </c>
      <c r="F7" s="5" t="str">
        <f>IFERROR(__xludf.DUMMYFUNCTION("REGEXEXTRACT(E7, ""^[^0-9]+"")"),"dec")</f>
        <v>dec</v>
      </c>
      <c r="G7" s="5" t="s">
        <v>41</v>
      </c>
      <c r="H7" s="5" t="s">
        <v>19</v>
      </c>
      <c r="I7" s="5" t="s">
        <v>41</v>
      </c>
      <c r="J7" s="5" t="s">
        <v>19</v>
      </c>
      <c r="K7" s="10" t="s">
        <v>42</v>
      </c>
      <c r="L7" s="5" t="s">
        <v>41</v>
      </c>
      <c r="M7" s="7" t="s">
        <v>20</v>
      </c>
      <c r="N7" s="8" t="s">
        <v>27</v>
      </c>
      <c r="O7" s="8"/>
      <c r="P7" s="8" t="s">
        <v>43</v>
      </c>
      <c r="Q7" s="5" t="s">
        <v>19</v>
      </c>
    </row>
    <row r="8" ht="15.75" customHeight="1">
      <c r="A8" s="5" t="s">
        <v>44</v>
      </c>
      <c r="B8" s="5"/>
      <c r="C8" s="6"/>
      <c r="D8" s="11"/>
      <c r="E8" s="9" t="s">
        <v>45</v>
      </c>
      <c r="F8" s="5" t="str">
        <f>IFERROR(__xludf.DUMMYFUNCTION("REGEXEXTRACT(E8, ""^[^0-9]+"")"),"dec")</f>
        <v>dec</v>
      </c>
      <c r="G8" s="5" t="s">
        <v>19</v>
      </c>
      <c r="H8" s="5" t="s">
        <v>19</v>
      </c>
      <c r="I8" s="5" t="s">
        <v>19</v>
      </c>
      <c r="J8" s="5" t="s">
        <v>19</v>
      </c>
      <c r="K8" s="5" t="s">
        <v>19</v>
      </c>
      <c r="L8" s="5" t="s">
        <v>19</v>
      </c>
      <c r="M8" s="8" t="s">
        <v>46</v>
      </c>
      <c r="N8" s="7"/>
      <c r="O8" s="7"/>
      <c r="P8" s="7"/>
      <c r="Q8" s="5" t="s">
        <v>19</v>
      </c>
    </row>
    <row r="9" ht="15.75" customHeight="1">
      <c r="A9" s="5" t="s">
        <v>47</v>
      </c>
      <c r="B9" s="5"/>
      <c r="C9" s="6"/>
      <c r="D9" s="11"/>
      <c r="E9" s="9" t="s">
        <v>48</v>
      </c>
      <c r="F9" s="5" t="str">
        <f>IFERROR(__xludf.DUMMYFUNCTION("REGEXEXTRACT(E9, ""^[^0-9]+"")"),"dec")</f>
        <v>dec</v>
      </c>
      <c r="G9" s="5" t="s">
        <v>19</v>
      </c>
      <c r="H9" s="5" t="s">
        <v>19</v>
      </c>
      <c r="I9" s="5" t="s">
        <v>19</v>
      </c>
      <c r="J9" s="5" t="s">
        <v>19</v>
      </c>
      <c r="K9" s="5" t="s">
        <v>19</v>
      </c>
      <c r="L9" s="5" t="s">
        <v>19</v>
      </c>
      <c r="M9" s="7" t="s">
        <v>46</v>
      </c>
      <c r="N9" s="7"/>
      <c r="O9" s="7"/>
      <c r="P9" s="7"/>
      <c r="Q9" s="5" t="s">
        <v>19</v>
      </c>
    </row>
    <row r="10" ht="15.75" customHeight="1">
      <c r="A10" s="5" t="s">
        <v>49</v>
      </c>
      <c r="B10" s="5"/>
      <c r="C10" s="6"/>
      <c r="D10" s="5"/>
      <c r="E10" s="5" t="s">
        <v>50</v>
      </c>
      <c r="F10" s="5" t="str">
        <f>IFERROR(__xludf.DUMMYFUNCTION("REGEXEXTRACT(E10, ""^[^0-9]+"")"),"dec")</f>
        <v>dec</v>
      </c>
      <c r="G10" s="5" t="s">
        <v>19</v>
      </c>
      <c r="H10" s="5" t="s">
        <v>19</v>
      </c>
      <c r="I10" s="5" t="s">
        <v>19</v>
      </c>
      <c r="J10" s="5" t="s">
        <v>19</v>
      </c>
      <c r="K10" s="5" t="s">
        <v>19</v>
      </c>
      <c r="L10" s="5" t="s">
        <v>19</v>
      </c>
      <c r="M10" s="7" t="s">
        <v>46</v>
      </c>
      <c r="N10" s="8" t="s">
        <v>27</v>
      </c>
      <c r="O10" s="7"/>
      <c r="P10" s="7"/>
      <c r="Q10" s="5" t="s">
        <v>19</v>
      </c>
    </row>
    <row r="11" ht="15.75" customHeight="1">
      <c r="A11" s="5" t="s">
        <v>51</v>
      </c>
      <c r="B11" s="5"/>
      <c r="C11" s="6"/>
      <c r="D11" s="11"/>
      <c r="E11" s="9" t="s">
        <v>52</v>
      </c>
      <c r="F11" s="5" t="str">
        <f>IFERROR(__xludf.DUMMYFUNCTION("REGEXEXTRACT(E11, ""^[^0-9]+"")"),"dec")</f>
        <v>dec</v>
      </c>
      <c r="G11" s="5" t="s">
        <v>19</v>
      </c>
      <c r="H11" s="5" t="s">
        <v>19</v>
      </c>
      <c r="I11" s="5" t="s">
        <v>19</v>
      </c>
      <c r="J11" s="5" t="s">
        <v>19</v>
      </c>
      <c r="K11" s="5" t="s">
        <v>19</v>
      </c>
      <c r="L11" s="5" t="s">
        <v>19</v>
      </c>
      <c r="M11" s="7" t="s">
        <v>46</v>
      </c>
      <c r="N11" s="7"/>
      <c r="O11" s="7"/>
      <c r="P11" s="7"/>
      <c r="Q11" s="5" t="s">
        <v>19</v>
      </c>
    </row>
    <row r="12" ht="15.75" customHeight="1">
      <c r="A12" s="5" t="s">
        <v>53</v>
      </c>
      <c r="B12" s="5"/>
      <c r="C12" s="6"/>
      <c r="D12" s="5"/>
      <c r="E12" s="5" t="s">
        <v>54</v>
      </c>
      <c r="F12" s="5" t="str">
        <f>IFERROR(__xludf.DUMMYFUNCTION("REGEXEXTRACT(E12, ""^[^0-9]+"")"),"lgbt")</f>
        <v>lgbt</v>
      </c>
      <c r="G12" s="9" t="s">
        <v>55</v>
      </c>
      <c r="H12" s="5" t="s">
        <v>19</v>
      </c>
      <c r="I12" s="9" t="s">
        <v>55</v>
      </c>
      <c r="J12" s="5" t="s">
        <v>19</v>
      </c>
      <c r="K12" s="10" t="s">
        <v>56</v>
      </c>
      <c r="L12" s="9" t="s">
        <v>55</v>
      </c>
      <c r="M12" s="7" t="s">
        <v>57</v>
      </c>
      <c r="N12" s="8" t="s">
        <v>58</v>
      </c>
      <c r="O12" s="7"/>
      <c r="P12" s="7"/>
      <c r="Q12" s="5" t="s">
        <v>19</v>
      </c>
    </row>
    <row r="13" ht="15.75" customHeight="1">
      <c r="A13" s="5" t="s">
        <v>59</v>
      </c>
      <c r="B13" s="5"/>
      <c r="C13" s="6"/>
      <c r="D13" s="5"/>
      <c r="E13" s="5" t="s">
        <v>60</v>
      </c>
      <c r="F13" s="5" t="str">
        <f>IFERROR(__xludf.DUMMYFUNCTION("REGEXEXTRACT(E13, ""^[^0-9]+"")"),"lgbt")</f>
        <v>lgbt</v>
      </c>
      <c r="G13" s="5" t="s">
        <v>61</v>
      </c>
      <c r="H13" s="5" t="s">
        <v>19</v>
      </c>
      <c r="I13" s="5" t="s">
        <v>61</v>
      </c>
      <c r="J13" s="5" t="s">
        <v>19</v>
      </c>
      <c r="K13" s="10" t="s">
        <v>62</v>
      </c>
      <c r="L13" s="5" t="s">
        <v>61</v>
      </c>
      <c r="M13" s="7" t="s">
        <v>57</v>
      </c>
      <c r="N13" s="8" t="s">
        <v>58</v>
      </c>
      <c r="O13" s="7"/>
      <c r="P13" s="7"/>
      <c r="Q13" s="5" t="s">
        <v>19</v>
      </c>
    </row>
    <row r="14" ht="15.75" customHeight="1">
      <c r="A14" s="5" t="s">
        <v>63</v>
      </c>
      <c r="B14" s="5"/>
      <c r="C14" s="6"/>
      <c r="D14" s="5"/>
      <c r="E14" s="5" t="s">
        <v>64</v>
      </c>
      <c r="F14" s="5" t="str">
        <f>IFERROR(__xludf.DUMMYFUNCTION("REGEXEXTRACT(E14, ""^[^0-9]+"")"),"lgbt")</f>
        <v>lgbt</v>
      </c>
      <c r="G14" s="5" t="s">
        <v>65</v>
      </c>
      <c r="H14" s="5" t="s">
        <v>19</v>
      </c>
      <c r="I14" s="5" t="s">
        <v>65</v>
      </c>
      <c r="J14" s="5" t="s">
        <v>19</v>
      </c>
      <c r="K14" s="10" t="s">
        <v>66</v>
      </c>
      <c r="L14" s="5" t="s">
        <v>65</v>
      </c>
      <c r="M14" s="7" t="s">
        <v>57</v>
      </c>
      <c r="N14" s="7"/>
      <c r="O14" s="8" t="s">
        <v>21</v>
      </c>
      <c r="P14" s="7"/>
      <c r="Q14" s="5" t="s">
        <v>19</v>
      </c>
    </row>
    <row r="15" ht="15.75" customHeight="1">
      <c r="A15" s="5" t="s">
        <v>67</v>
      </c>
      <c r="B15" s="5" t="s">
        <v>68</v>
      </c>
      <c r="C15" s="6"/>
      <c r="D15" s="5"/>
      <c r="E15" s="5" t="s">
        <v>69</v>
      </c>
      <c r="F15" s="5" t="str">
        <f>IFERROR(__xludf.DUMMYFUNCTION("REGEXEXTRACT(E15, ""^[^0-9]+"")"),"lgbt")</f>
        <v>lgbt</v>
      </c>
      <c r="G15" s="5" t="s">
        <v>70</v>
      </c>
      <c r="H15" s="5" t="s">
        <v>19</v>
      </c>
      <c r="I15" s="5" t="s">
        <v>70</v>
      </c>
      <c r="J15" s="5" t="s">
        <v>19</v>
      </c>
      <c r="K15" s="10" t="s">
        <v>71</v>
      </c>
      <c r="L15" s="5" t="s">
        <v>70</v>
      </c>
      <c r="M15" s="7" t="s">
        <v>57</v>
      </c>
      <c r="N15" s="8" t="s">
        <v>58</v>
      </c>
      <c r="O15" s="7"/>
      <c r="P15" s="7"/>
      <c r="Q15" s="5" t="s">
        <v>19</v>
      </c>
    </row>
    <row r="16" ht="15.75" customHeight="1">
      <c r="A16" s="5" t="s">
        <v>72</v>
      </c>
      <c r="B16" s="5"/>
      <c r="C16" s="6"/>
      <c r="D16" s="5"/>
      <c r="E16" s="5" t="s">
        <v>19</v>
      </c>
      <c r="F16" s="5" t="str">
        <f>IFERROR(__xludf.DUMMYFUNCTION("REGEXEXTRACT(E16, ""^[^0-9]+"")"),"NA")</f>
        <v>NA</v>
      </c>
      <c r="G16" s="9" t="s">
        <v>73</v>
      </c>
      <c r="H16" s="5" t="s">
        <v>19</v>
      </c>
      <c r="I16" s="9" t="s">
        <v>73</v>
      </c>
      <c r="J16" s="5" t="s">
        <v>19</v>
      </c>
      <c r="K16" s="10" t="s">
        <v>74</v>
      </c>
      <c r="L16" s="9" t="s">
        <v>73</v>
      </c>
      <c r="M16" s="7" t="s">
        <v>57</v>
      </c>
      <c r="N16" s="7"/>
      <c r="O16" s="7"/>
      <c r="P16" s="7"/>
      <c r="Q16" s="5" t="s">
        <v>19</v>
      </c>
    </row>
    <row r="17" ht="15.75" customHeight="1">
      <c r="A17" s="5" t="s">
        <v>75</v>
      </c>
      <c r="B17" s="5"/>
      <c r="C17" s="6"/>
      <c r="D17" s="5"/>
      <c r="E17" s="5" t="s">
        <v>19</v>
      </c>
      <c r="F17" s="5" t="str">
        <f>IFERROR(__xludf.DUMMYFUNCTION("REGEXEXTRACT(E17, ""^[^0-9]+"")"),"NA")</f>
        <v>NA</v>
      </c>
      <c r="G17" s="9" t="s">
        <v>76</v>
      </c>
      <c r="H17" s="5" t="s">
        <v>19</v>
      </c>
      <c r="I17" s="9" t="s">
        <v>76</v>
      </c>
      <c r="J17" s="5" t="s">
        <v>19</v>
      </c>
      <c r="K17" s="10" t="s">
        <v>77</v>
      </c>
      <c r="L17" s="9" t="s">
        <v>76</v>
      </c>
      <c r="M17" s="7" t="s">
        <v>57</v>
      </c>
      <c r="N17" s="7"/>
      <c r="O17" s="7"/>
      <c r="P17" s="7"/>
      <c r="Q17" s="5" t="s">
        <v>19</v>
      </c>
    </row>
    <row r="18" ht="15.75" customHeight="1">
      <c r="A18" s="5" t="s">
        <v>78</v>
      </c>
      <c r="B18" s="5" t="s">
        <v>79</v>
      </c>
      <c r="C18" s="6"/>
      <c r="D18" s="5"/>
      <c r="E18" s="5" t="s">
        <v>80</v>
      </c>
      <c r="F18" s="5" t="str">
        <f>IFERROR(__xludf.DUMMYFUNCTION("REGEXEXTRACT(E18, ""^[^0-9]+"")"),"unp")</f>
        <v>unp</v>
      </c>
      <c r="G18" s="9" t="s">
        <v>81</v>
      </c>
      <c r="H18" s="5" t="s">
        <v>19</v>
      </c>
      <c r="I18" s="9" t="s">
        <v>81</v>
      </c>
      <c r="J18" s="5" t="s">
        <v>19</v>
      </c>
      <c r="K18" s="10" t="s">
        <v>82</v>
      </c>
      <c r="L18" s="9" t="s">
        <v>81</v>
      </c>
      <c r="M18" s="7" t="s">
        <v>83</v>
      </c>
      <c r="N18" s="8" t="s">
        <v>84</v>
      </c>
      <c r="O18" s="8"/>
      <c r="P18" s="8" t="s">
        <v>85</v>
      </c>
      <c r="Q18" s="5" t="s">
        <v>19</v>
      </c>
    </row>
    <row r="19" ht="15.75" customHeight="1">
      <c r="A19" s="5" t="s">
        <v>86</v>
      </c>
      <c r="B19" s="5"/>
      <c r="C19" s="6"/>
      <c r="D19" s="5"/>
      <c r="E19" s="5" t="s">
        <v>19</v>
      </c>
      <c r="F19" s="5" t="str">
        <f>IFERROR(__xludf.DUMMYFUNCTION("REGEXEXTRACT(E19, ""^[^0-9]+"")"),"NA")</f>
        <v>NA</v>
      </c>
      <c r="G19" s="5" t="s">
        <v>87</v>
      </c>
      <c r="H19" s="5" t="s">
        <v>19</v>
      </c>
      <c r="I19" s="5" t="s">
        <v>87</v>
      </c>
      <c r="J19" s="5" t="s">
        <v>19</v>
      </c>
      <c r="K19" s="10" t="s">
        <v>88</v>
      </c>
      <c r="L19" s="5" t="s">
        <v>87</v>
      </c>
      <c r="M19" s="7" t="s">
        <v>83</v>
      </c>
      <c r="N19" s="7"/>
      <c r="O19" s="7"/>
      <c r="P19" s="7"/>
      <c r="Q19" s="5" t="s">
        <v>19</v>
      </c>
    </row>
    <row r="20" ht="15.75" customHeight="1">
      <c r="A20" s="5" t="s">
        <v>89</v>
      </c>
      <c r="B20" s="5"/>
      <c r="C20" s="6"/>
      <c r="D20" s="5"/>
      <c r="E20" s="5" t="s">
        <v>19</v>
      </c>
      <c r="F20" s="5" t="str">
        <f>IFERROR(__xludf.DUMMYFUNCTION("REGEXEXTRACT(E20, ""^[^0-9]+"")"),"NA")</f>
        <v>NA</v>
      </c>
      <c r="G20" s="5" t="s">
        <v>90</v>
      </c>
      <c r="H20" s="5" t="s">
        <v>19</v>
      </c>
      <c r="I20" s="5" t="s">
        <v>90</v>
      </c>
      <c r="J20" s="5" t="s">
        <v>19</v>
      </c>
      <c r="K20" s="10" t="s">
        <v>91</v>
      </c>
      <c r="L20" s="5" t="s">
        <v>90</v>
      </c>
      <c r="M20" s="7" t="s">
        <v>83</v>
      </c>
      <c r="N20" s="7"/>
      <c r="O20" s="7"/>
      <c r="P20" s="7"/>
      <c r="Q20" s="5" t="s">
        <v>19</v>
      </c>
    </row>
    <row r="21" ht="15.75" customHeight="1">
      <c r="A21" s="5" t="s">
        <v>92</v>
      </c>
      <c r="B21" s="5"/>
      <c r="C21" s="6"/>
      <c r="D21" s="5"/>
      <c r="E21" s="5" t="s">
        <v>93</v>
      </c>
      <c r="F21" s="5" t="str">
        <f>IFERROR(__xludf.DUMMYFUNCTION("REGEXEXTRACT(E21, ""^[^0-9]+"")"),"unp")</f>
        <v>unp</v>
      </c>
      <c r="G21" s="5" t="s">
        <v>94</v>
      </c>
      <c r="H21" s="5" t="s">
        <v>19</v>
      </c>
      <c r="I21" s="5" t="s">
        <v>94</v>
      </c>
      <c r="J21" s="5" t="s">
        <v>19</v>
      </c>
      <c r="K21" s="10" t="s">
        <v>95</v>
      </c>
      <c r="L21" s="5" t="s">
        <v>94</v>
      </c>
      <c r="M21" s="7" t="s">
        <v>83</v>
      </c>
      <c r="N21" s="8" t="s">
        <v>84</v>
      </c>
      <c r="O21" s="8"/>
      <c r="P21" s="8" t="s">
        <v>85</v>
      </c>
      <c r="Q21" s="5" t="s">
        <v>19</v>
      </c>
    </row>
    <row r="22" ht="15.75" customHeight="1">
      <c r="A22" s="5" t="s">
        <v>96</v>
      </c>
      <c r="B22" s="5"/>
      <c r="C22" s="6"/>
      <c r="D22" s="5"/>
      <c r="E22" s="5" t="s">
        <v>19</v>
      </c>
      <c r="F22" s="5" t="str">
        <f>IFERROR(__xludf.DUMMYFUNCTION("REGEXEXTRACT(E22, ""^[^0-9]+"")"),"NA")</f>
        <v>NA</v>
      </c>
      <c r="G22" s="9" t="s">
        <v>97</v>
      </c>
      <c r="H22" s="5" t="s">
        <v>19</v>
      </c>
      <c r="I22" s="9" t="s">
        <v>97</v>
      </c>
      <c r="J22" s="5" t="s">
        <v>19</v>
      </c>
      <c r="K22" s="10" t="s">
        <v>98</v>
      </c>
      <c r="L22" s="9" t="s">
        <v>97</v>
      </c>
      <c r="M22" s="7" t="s">
        <v>83</v>
      </c>
      <c r="N22" s="7"/>
      <c r="O22" s="7"/>
      <c r="P22" s="7"/>
      <c r="Q22" s="5" t="s">
        <v>19</v>
      </c>
    </row>
    <row r="23" ht="15.75" customHeight="1">
      <c r="A23" s="5" t="s">
        <v>99</v>
      </c>
      <c r="B23" s="5"/>
      <c r="C23" s="6"/>
      <c r="D23" s="5"/>
      <c r="E23" s="5" t="s">
        <v>19</v>
      </c>
      <c r="F23" s="5" t="str">
        <f>IFERROR(__xludf.DUMMYFUNCTION("REGEXEXTRACT(E23, ""^[^0-9]+"")"),"NA")</f>
        <v>NA</v>
      </c>
      <c r="G23" s="9" t="s">
        <v>100</v>
      </c>
      <c r="H23" s="5" t="s">
        <v>19</v>
      </c>
      <c r="I23" s="9" t="s">
        <v>100</v>
      </c>
      <c r="J23" s="5" t="s">
        <v>19</v>
      </c>
      <c r="K23" s="10" t="s">
        <v>101</v>
      </c>
      <c r="L23" s="9" t="s">
        <v>100</v>
      </c>
      <c r="M23" s="7" t="s">
        <v>83</v>
      </c>
      <c r="N23" s="7"/>
      <c r="O23" s="7"/>
      <c r="P23" s="7"/>
      <c r="Q23" s="5" t="s">
        <v>19</v>
      </c>
    </row>
    <row r="24" ht="15.75" customHeight="1">
      <c r="A24" s="5" t="s">
        <v>102</v>
      </c>
      <c r="B24" s="5" t="s">
        <v>103</v>
      </c>
      <c r="C24" s="6"/>
      <c r="D24" s="5"/>
      <c r="E24" s="5" t="s">
        <v>19</v>
      </c>
      <c r="F24" s="5" t="str">
        <f>IFERROR(__xludf.DUMMYFUNCTION("REGEXEXTRACT(E24, ""^[^0-9]+"")"),"NA")</f>
        <v>NA</v>
      </c>
      <c r="G24" s="9" t="s">
        <v>104</v>
      </c>
      <c r="H24" s="5" t="s">
        <v>19</v>
      </c>
      <c r="I24" s="9" t="s">
        <v>104</v>
      </c>
      <c r="J24" s="5" t="s">
        <v>19</v>
      </c>
      <c r="K24" s="10" t="s">
        <v>105</v>
      </c>
      <c r="L24" s="9" t="s">
        <v>104</v>
      </c>
      <c r="M24" s="7" t="s">
        <v>83</v>
      </c>
      <c r="N24" s="7"/>
      <c r="O24" s="7"/>
      <c r="P24" s="7"/>
      <c r="Q24" s="5" t="s">
        <v>19</v>
      </c>
    </row>
    <row r="25" ht="15.75" customHeight="1">
      <c r="A25" s="5" t="s">
        <v>106</v>
      </c>
      <c r="B25" s="5" t="s">
        <v>107</v>
      </c>
      <c r="C25" s="6"/>
      <c r="D25" s="5"/>
      <c r="E25" s="5" t="s">
        <v>108</v>
      </c>
      <c r="F25" s="5" t="str">
        <f>IFERROR(__xludf.DUMMYFUNCTION("REGEXEXTRACT(E25, ""^[^0-9]+"")"),"unp")</f>
        <v>unp</v>
      </c>
      <c r="G25" s="5" t="s">
        <v>108</v>
      </c>
      <c r="H25" s="5" t="s">
        <v>19</v>
      </c>
      <c r="I25" s="5" t="s">
        <v>108</v>
      </c>
      <c r="J25" s="5" t="s">
        <v>19</v>
      </c>
      <c r="K25" s="10" t="s">
        <v>109</v>
      </c>
      <c r="L25" s="5" t="s">
        <v>108</v>
      </c>
      <c r="M25" s="8" t="s">
        <v>110</v>
      </c>
      <c r="N25" s="8" t="s">
        <v>111</v>
      </c>
      <c r="O25" s="7"/>
      <c r="P25" s="7"/>
      <c r="Q25" s="5" t="s">
        <v>19</v>
      </c>
    </row>
    <row r="26" ht="15.75" customHeight="1">
      <c r="A26" s="5" t="s">
        <v>112</v>
      </c>
      <c r="B26" s="5"/>
      <c r="C26" s="6"/>
      <c r="D26" s="11"/>
      <c r="E26" s="9" t="s">
        <v>113</v>
      </c>
      <c r="F26" s="5" t="str">
        <f>IFERROR(__xludf.DUMMYFUNCTION("REGEXEXTRACT(E26, ""^[^0-9]+"")"),"unp")</f>
        <v>unp</v>
      </c>
      <c r="G26" s="5" t="s">
        <v>19</v>
      </c>
      <c r="H26" s="5" t="s">
        <v>19</v>
      </c>
      <c r="I26" s="5" t="s">
        <v>19</v>
      </c>
      <c r="J26" s="5" t="s">
        <v>19</v>
      </c>
      <c r="K26" s="5" t="s">
        <v>19</v>
      </c>
      <c r="L26" s="5" t="s">
        <v>19</v>
      </c>
      <c r="M26" s="7" t="s">
        <v>110</v>
      </c>
      <c r="N26" s="7"/>
      <c r="O26" s="7"/>
      <c r="P26" s="7"/>
      <c r="Q26" s="5" t="s">
        <v>19</v>
      </c>
    </row>
    <row r="27" ht="15.75" customHeight="1">
      <c r="A27" s="5" t="s">
        <v>114</v>
      </c>
      <c r="B27" s="5" t="s">
        <v>115</v>
      </c>
      <c r="C27" s="6"/>
      <c r="D27" s="11"/>
      <c r="E27" s="9" t="s">
        <v>116</v>
      </c>
      <c r="F27" s="5" t="str">
        <f>IFERROR(__xludf.DUMMYFUNCTION("REGEXEXTRACT(E27, ""^[^0-9]+"")"),"unp")</f>
        <v>unp</v>
      </c>
      <c r="G27" s="5" t="s">
        <v>113</v>
      </c>
      <c r="H27" s="5" t="s">
        <v>19</v>
      </c>
      <c r="I27" s="5" t="s">
        <v>113</v>
      </c>
      <c r="J27" s="5" t="s">
        <v>19</v>
      </c>
      <c r="K27" s="10" t="s">
        <v>117</v>
      </c>
      <c r="L27" s="5" t="s">
        <v>113</v>
      </c>
      <c r="M27" s="7" t="s">
        <v>110</v>
      </c>
      <c r="N27" s="7"/>
      <c r="O27" s="7"/>
      <c r="P27" s="7"/>
      <c r="Q27" s="5" t="s">
        <v>19</v>
      </c>
    </row>
    <row r="28" ht="15.75" customHeight="1">
      <c r="A28" s="5" t="s">
        <v>118</v>
      </c>
      <c r="B28" s="5" t="s">
        <v>119</v>
      </c>
      <c r="C28" s="6"/>
      <c r="D28" s="5"/>
      <c r="E28" s="5" t="s">
        <v>120</v>
      </c>
      <c r="F28" s="5" t="str">
        <f>IFERROR(__xludf.DUMMYFUNCTION("REGEXEXTRACT(E28, ""^[^0-9]+"")"),"unp")</f>
        <v>unp</v>
      </c>
      <c r="G28" s="5" t="s">
        <v>80</v>
      </c>
      <c r="H28" s="5" t="s">
        <v>19</v>
      </c>
      <c r="I28" s="5" t="s">
        <v>80</v>
      </c>
      <c r="J28" s="5" t="s">
        <v>19</v>
      </c>
      <c r="K28" s="10" t="s">
        <v>121</v>
      </c>
      <c r="L28" s="5" t="s">
        <v>80</v>
      </c>
      <c r="M28" s="7" t="s">
        <v>110</v>
      </c>
      <c r="N28" s="8" t="s">
        <v>111</v>
      </c>
      <c r="O28" s="7"/>
      <c r="P28" s="7"/>
      <c r="Q28" s="5" t="s">
        <v>19</v>
      </c>
    </row>
    <row r="29" ht="15.75" customHeight="1">
      <c r="A29" s="5" t="s">
        <v>122</v>
      </c>
      <c r="B29" s="5"/>
      <c r="C29" s="6"/>
      <c r="D29" s="5"/>
      <c r="E29" s="5" t="s">
        <v>123</v>
      </c>
      <c r="F29" s="5" t="str">
        <f>IFERROR(__xludf.DUMMYFUNCTION("REGEXEXTRACT(E29, ""^[^0-9]+"")"),"unp")</f>
        <v>unp</v>
      </c>
      <c r="G29" s="5" t="s">
        <v>19</v>
      </c>
      <c r="H29" s="5" t="s">
        <v>19</v>
      </c>
      <c r="I29" s="5" t="s">
        <v>19</v>
      </c>
      <c r="J29" s="5" t="s">
        <v>19</v>
      </c>
      <c r="K29" s="5" t="s">
        <v>19</v>
      </c>
      <c r="L29" s="5" t="s">
        <v>19</v>
      </c>
      <c r="M29" s="7" t="s">
        <v>110</v>
      </c>
      <c r="N29" s="8" t="s">
        <v>111</v>
      </c>
      <c r="O29" s="7"/>
      <c r="P29" s="7"/>
      <c r="Q29" s="5" t="s">
        <v>19</v>
      </c>
    </row>
    <row r="30" ht="15.75" customHeight="1">
      <c r="A30" s="5" t="s">
        <v>124</v>
      </c>
      <c r="B30" s="5" t="s">
        <v>125</v>
      </c>
      <c r="C30" s="6"/>
      <c r="D30" s="5"/>
      <c r="E30" s="5" t="s">
        <v>126</v>
      </c>
      <c r="F30" s="5" t="str">
        <f>IFERROR(__xludf.DUMMYFUNCTION("REGEXEXTRACT(E30, ""^[^0-9]+"")"),"unp")</f>
        <v>unp</v>
      </c>
      <c r="G30" s="5" t="s">
        <v>93</v>
      </c>
      <c r="H30" s="5" t="s">
        <v>19</v>
      </c>
      <c r="I30" s="5" t="s">
        <v>93</v>
      </c>
      <c r="J30" s="5" t="s">
        <v>19</v>
      </c>
      <c r="K30" s="10" t="s">
        <v>127</v>
      </c>
      <c r="L30" s="5" t="s">
        <v>93</v>
      </c>
      <c r="M30" s="7" t="s">
        <v>110</v>
      </c>
      <c r="N30" s="7"/>
      <c r="O30" s="8" t="s">
        <v>128</v>
      </c>
      <c r="P30" s="7"/>
      <c r="Q30" s="5" t="s">
        <v>19</v>
      </c>
    </row>
    <row r="31" ht="15.75" customHeight="1">
      <c r="A31" s="5" t="s">
        <v>129</v>
      </c>
      <c r="B31" s="5" t="s">
        <v>130</v>
      </c>
      <c r="C31" s="6"/>
      <c r="D31" s="5" t="s">
        <v>130</v>
      </c>
      <c r="E31" s="5" t="s">
        <v>19</v>
      </c>
      <c r="F31" s="5" t="str">
        <f>IFERROR(__xludf.DUMMYFUNCTION("REGEXEXTRACT(E31, ""^[^0-9]+"")"),"NA")</f>
        <v>NA</v>
      </c>
      <c r="G31" s="9" t="s">
        <v>131</v>
      </c>
      <c r="H31" s="12" t="s">
        <v>132</v>
      </c>
      <c r="I31" s="9" t="s">
        <v>132</v>
      </c>
      <c r="J31" s="5" t="s">
        <v>132</v>
      </c>
      <c r="K31" s="10" t="s">
        <v>133</v>
      </c>
      <c r="L31" s="9" t="s">
        <v>132</v>
      </c>
      <c r="M31" s="7" t="s">
        <v>21</v>
      </c>
      <c r="N31" s="7"/>
      <c r="O31" s="7"/>
      <c r="P31" s="7"/>
      <c r="Q31" s="5" t="s">
        <v>132</v>
      </c>
    </row>
    <row r="32" ht="15.75" customHeight="1">
      <c r="A32" s="5" t="s">
        <v>134</v>
      </c>
      <c r="B32" s="5"/>
      <c r="C32" s="6"/>
      <c r="D32" s="5"/>
      <c r="E32" s="5" t="s">
        <v>19</v>
      </c>
      <c r="F32" s="5" t="str">
        <f>IFERROR(__xludf.DUMMYFUNCTION("REGEXEXTRACT(E32, ""^[^0-9]+"")"),"NA")</f>
        <v>NA</v>
      </c>
      <c r="G32" s="9" t="s">
        <v>135</v>
      </c>
      <c r="H32" s="12" t="s">
        <v>136</v>
      </c>
      <c r="I32" s="9" t="s">
        <v>136</v>
      </c>
      <c r="J32" s="5" t="s">
        <v>19</v>
      </c>
      <c r="K32" s="10" t="s">
        <v>137</v>
      </c>
      <c r="L32" s="9" t="s">
        <v>136</v>
      </c>
      <c r="M32" s="7" t="s">
        <v>21</v>
      </c>
      <c r="N32" s="7"/>
      <c r="O32" s="7"/>
      <c r="P32" s="7"/>
      <c r="Q32" s="5" t="s">
        <v>19</v>
      </c>
    </row>
    <row r="33" ht="15.75" customHeight="1">
      <c r="A33" s="5" t="s">
        <v>138</v>
      </c>
      <c r="B33" s="5"/>
      <c r="C33" s="6"/>
      <c r="D33" s="5"/>
      <c r="E33" s="5" t="s">
        <v>19</v>
      </c>
      <c r="F33" s="5" t="str">
        <f>IFERROR(__xludf.DUMMYFUNCTION("REGEXEXTRACT(E33, ""^[^0-9]+"")"),"NA")</f>
        <v>NA</v>
      </c>
      <c r="G33" s="9" t="s">
        <v>139</v>
      </c>
      <c r="H33" s="12" t="s">
        <v>140</v>
      </c>
      <c r="I33" s="9" t="s">
        <v>140</v>
      </c>
      <c r="J33" s="5" t="s">
        <v>19</v>
      </c>
      <c r="K33" s="10" t="s">
        <v>141</v>
      </c>
      <c r="L33" s="9" t="s">
        <v>140</v>
      </c>
      <c r="M33" s="7" t="s">
        <v>21</v>
      </c>
      <c r="N33" s="7"/>
      <c r="O33" s="7"/>
      <c r="P33" s="7"/>
      <c r="Q33" s="5" t="s">
        <v>19</v>
      </c>
    </row>
    <row r="34" ht="15.75" customHeight="1">
      <c r="A34" s="5" t="s">
        <v>142</v>
      </c>
      <c r="B34" s="5"/>
      <c r="C34" s="6"/>
      <c r="D34" s="5"/>
      <c r="E34" s="5" t="s">
        <v>19</v>
      </c>
      <c r="F34" s="5" t="str">
        <f>IFERROR(__xludf.DUMMYFUNCTION("REGEXEXTRACT(E34, ""^[^0-9]+"")"),"NA")</f>
        <v>NA</v>
      </c>
      <c r="G34" s="5" t="s">
        <v>143</v>
      </c>
      <c r="H34" s="12" t="s">
        <v>144</v>
      </c>
      <c r="I34" s="5" t="s">
        <v>144</v>
      </c>
      <c r="J34" s="5" t="s">
        <v>19</v>
      </c>
      <c r="K34" s="10" t="s">
        <v>145</v>
      </c>
      <c r="L34" s="5" t="s">
        <v>144</v>
      </c>
      <c r="M34" s="7" t="s">
        <v>21</v>
      </c>
      <c r="N34" s="7"/>
      <c r="O34" s="7"/>
      <c r="P34" s="7"/>
      <c r="Q34" s="5" t="s">
        <v>19</v>
      </c>
    </row>
    <row r="35" ht="15.75" customHeight="1">
      <c r="A35" s="5" t="s">
        <v>146</v>
      </c>
      <c r="B35" s="5"/>
      <c r="C35" s="6"/>
      <c r="D35" s="5"/>
      <c r="E35" s="5" t="s">
        <v>19</v>
      </c>
      <c r="F35" s="5" t="str">
        <f>IFERROR(__xludf.DUMMYFUNCTION("REGEXEXTRACT(E35, ""^[^0-9]+"")"),"NA")</f>
        <v>NA</v>
      </c>
      <c r="G35" s="9" t="s">
        <v>147</v>
      </c>
      <c r="H35" s="12" t="s">
        <v>148</v>
      </c>
      <c r="I35" s="9" t="s">
        <v>148</v>
      </c>
      <c r="J35" s="5" t="s">
        <v>148</v>
      </c>
      <c r="K35" s="10" t="s">
        <v>149</v>
      </c>
      <c r="L35" s="9" t="s">
        <v>148</v>
      </c>
      <c r="M35" s="7" t="s">
        <v>21</v>
      </c>
      <c r="N35" s="7"/>
      <c r="O35" s="7"/>
      <c r="P35" s="7"/>
      <c r="Q35" s="5" t="s">
        <v>148</v>
      </c>
    </row>
    <row r="36" ht="15.75" customHeight="1">
      <c r="A36" s="5" t="s">
        <v>150</v>
      </c>
      <c r="B36" s="5"/>
      <c r="C36" s="6"/>
      <c r="D36" s="5"/>
      <c r="E36" s="5" t="s">
        <v>19</v>
      </c>
      <c r="F36" s="5" t="str">
        <f>IFERROR(__xludf.DUMMYFUNCTION("REGEXEXTRACT(E36, ""^[^0-9]+"")"),"NA")</f>
        <v>NA</v>
      </c>
      <c r="G36" s="5" t="s">
        <v>151</v>
      </c>
      <c r="H36" s="12" t="s">
        <v>152</v>
      </c>
      <c r="I36" s="5" t="s">
        <v>152</v>
      </c>
      <c r="J36" s="5" t="s">
        <v>152</v>
      </c>
      <c r="K36" s="10" t="s">
        <v>153</v>
      </c>
      <c r="L36" s="5" t="s">
        <v>152</v>
      </c>
      <c r="M36" s="7" t="s">
        <v>21</v>
      </c>
      <c r="N36" s="7"/>
      <c r="O36" s="7"/>
      <c r="P36" s="7"/>
      <c r="Q36" s="5" t="s">
        <v>152</v>
      </c>
    </row>
    <row r="37" ht="15.75" customHeight="1">
      <c r="A37" s="5" t="s">
        <v>154</v>
      </c>
      <c r="B37" s="5"/>
      <c r="C37" s="6"/>
      <c r="D37" s="5"/>
      <c r="E37" s="5" t="s">
        <v>19</v>
      </c>
      <c r="F37" s="5" t="str">
        <f>IFERROR(__xludf.DUMMYFUNCTION("REGEXEXTRACT(E37, ""^[^0-9]+"")"),"NA")</f>
        <v>NA</v>
      </c>
      <c r="G37" s="9" t="s">
        <v>155</v>
      </c>
      <c r="H37" s="12" t="s">
        <v>156</v>
      </c>
      <c r="I37" s="9" t="s">
        <v>156</v>
      </c>
      <c r="J37" s="5" t="s">
        <v>156</v>
      </c>
      <c r="K37" s="10" t="s">
        <v>157</v>
      </c>
      <c r="L37" s="9" t="s">
        <v>156</v>
      </c>
      <c r="M37" s="7" t="s">
        <v>21</v>
      </c>
      <c r="N37" s="7"/>
      <c r="O37" s="7"/>
      <c r="P37" s="7"/>
      <c r="Q37" s="5" t="s">
        <v>156</v>
      </c>
    </row>
    <row r="38" ht="15.75" customHeight="1">
      <c r="A38" s="5" t="s">
        <v>158</v>
      </c>
      <c r="B38" s="5"/>
      <c r="C38" s="6"/>
      <c r="D38" s="5"/>
      <c r="E38" s="5" t="s">
        <v>19</v>
      </c>
      <c r="F38" s="5" t="str">
        <f>IFERROR(__xludf.DUMMYFUNCTION("REGEXEXTRACT(E38, ""^[^0-9]+"")"),"NA")</f>
        <v>NA</v>
      </c>
      <c r="G38" s="9" t="s">
        <v>159</v>
      </c>
      <c r="H38" s="12" t="s">
        <v>160</v>
      </c>
      <c r="I38" s="9" t="s">
        <v>160</v>
      </c>
      <c r="J38" s="5" t="s">
        <v>160</v>
      </c>
      <c r="K38" s="10" t="s">
        <v>161</v>
      </c>
      <c r="L38" s="9" t="s">
        <v>160</v>
      </c>
      <c r="M38" s="7" t="s">
        <v>21</v>
      </c>
      <c r="N38" s="7"/>
      <c r="O38" s="7"/>
      <c r="P38" s="7"/>
      <c r="Q38" s="5" t="s">
        <v>160</v>
      </c>
    </row>
    <row r="39" ht="15.75" customHeight="1">
      <c r="A39" s="5" t="s">
        <v>162</v>
      </c>
      <c r="B39" s="5"/>
      <c r="C39" s="6"/>
      <c r="D39" s="13" t="s">
        <v>163</v>
      </c>
      <c r="E39" s="5" t="s">
        <v>19</v>
      </c>
      <c r="F39" s="5" t="str">
        <f>IFERROR(__xludf.DUMMYFUNCTION("REGEXEXTRACT(E39, ""^[^0-9]+"")"),"NA")</f>
        <v>NA</v>
      </c>
      <c r="G39" s="5" t="s">
        <v>164</v>
      </c>
      <c r="H39" s="12" t="s">
        <v>165</v>
      </c>
      <c r="I39" s="5" t="s">
        <v>165</v>
      </c>
      <c r="J39" s="5" t="s">
        <v>165</v>
      </c>
      <c r="K39" s="10" t="s">
        <v>166</v>
      </c>
      <c r="L39" s="5" t="s">
        <v>165</v>
      </c>
      <c r="M39" s="7" t="s">
        <v>21</v>
      </c>
      <c r="N39" s="7"/>
      <c r="O39" s="7"/>
      <c r="P39" s="7"/>
      <c r="Q39" s="5" t="s">
        <v>165</v>
      </c>
    </row>
    <row r="40" ht="15.75" customHeight="1">
      <c r="A40" s="5" t="s">
        <v>167</v>
      </c>
      <c r="B40" s="5"/>
      <c r="C40" s="6"/>
      <c r="D40" s="5"/>
      <c r="E40" s="5" t="s">
        <v>19</v>
      </c>
      <c r="F40" s="5" t="str">
        <f>IFERROR(__xludf.DUMMYFUNCTION("REGEXEXTRACT(E40, ""^[^0-9]+"")"),"NA")</f>
        <v>NA</v>
      </c>
      <c r="G40" s="9" t="s">
        <v>168</v>
      </c>
      <c r="H40" s="12" t="s">
        <v>169</v>
      </c>
      <c r="I40" s="9" t="s">
        <v>169</v>
      </c>
      <c r="J40" s="5" t="s">
        <v>169</v>
      </c>
      <c r="K40" s="10" t="s">
        <v>170</v>
      </c>
      <c r="L40" s="9" t="s">
        <v>169</v>
      </c>
      <c r="M40" s="7" t="s">
        <v>21</v>
      </c>
      <c r="N40" s="7"/>
      <c r="O40" s="7"/>
      <c r="P40" s="7"/>
      <c r="Q40" s="14" t="s">
        <v>169</v>
      </c>
    </row>
    <row r="41" ht="15.75" customHeight="1">
      <c r="A41" s="5" t="s">
        <v>171</v>
      </c>
      <c r="B41" s="5"/>
      <c r="C41" s="6"/>
      <c r="D41" s="5"/>
      <c r="E41" s="5" t="s">
        <v>19</v>
      </c>
      <c r="F41" s="5" t="str">
        <f>IFERROR(__xludf.DUMMYFUNCTION("REGEXEXTRACT(E41, ""^[^0-9]+"")"),"NA")</f>
        <v>NA</v>
      </c>
      <c r="G41" s="9" t="s">
        <v>172</v>
      </c>
      <c r="H41" s="12" t="s">
        <v>173</v>
      </c>
      <c r="I41" s="9" t="s">
        <v>173</v>
      </c>
      <c r="J41" s="5" t="s">
        <v>19</v>
      </c>
      <c r="K41" s="10" t="s">
        <v>174</v>
      </c>
      <c r="L41" s="9" t="s">
        <v>173</v>
      </c>
      <c r="M41" s="7" t="s">
        <v>21</v>
      </c>
      <c r="N41" s="7"/>
      <c r="O41" s="7"/>
      <c r="P41" s="7"/>
      <c r="Q41" s="5" t="s">
        <v>19</v>
      </c>
    </row>
    <row r="42" ht="15.75" customHeight="1">
      <c r="A42" s="5" t="s">
        <v>175</v>
      </c>
      <c r="B42" s="5"/>
      <c r="C42" s="6"/>
      <c r="D42" s="5"/>
      <c r="E42" s="5" t="s">
        <v>19</v>
      </c>
      <c r="F42" s="5" t="str">
        <f>IFERROR(__xludf.DUMMYFUNCTION("REGEXEXTRACT(E42, ""^[^0-9]+"")"),"NA")</f>
        <v>NA</v>
      </c>
      <c r="G42" s="9" t="s">
        <v>176</v>
      </c>
      <c r="H42" s="12" t="s">
        <v>177</v>
      </c>
      <c r="I42" s="9" t="s">
        <v>177</v>
      </c>
      <c r="J42" s="5" t="s">
        <v>19</v>
      </c>
      <c r="K42" s="10" t="s">
        <v>178</v>
      </c>
      <c r="L42" s="9" t="s">
        <v>177</v>
      </c>
      <c r="M42" s="7" t="s">
        <v>21</v>
      </c>
      <c r="N42" s="7"/>
      <c r="O42" s="7"/>
      <c r="P42" s="7"/>
      <c r="Q42" s="5" t="s">
        <v>19</v>
      </c>
    </row>
    <row r="43" ht="15.75" customHeight="1">
      <c r="A43" s="5" t="s">
        <v>179</v>
      </c>
      <c r="B43" s="5"/>
      <c r="C43" s="6"/>
      <c r="D43" s="5"/>
      <c r="E43" s="5" t="s">
        <v>180</v>
      </c>
      <c r="F43" s="5" t="str">
        <f>IFERROR(__xludf.DUMMYFUNCTION("REGEXEXTRACT(E43, ""^[^0-9]+"")"),"aban")</f>
        <v>aban</v>
      </c>
      <c r="G43" s="5" t="s">
        <v>180</v>
      </c>
      <c r="H43" s="5" t="s">
        <v>19</v>
      </c>
      <c r="I43" s="5" t="s">
        <v>180</v>
      </c>
      <c r="J43" s="5" t="s">
        <v>19</v>
      </c>
      <c r="K43" s="10" t="s">
        <v>181</v>
      </c>
      <c r="L43" s="5" t="s">
        <v>180</v>
      </c>
      <c r="M43" s="7" t="s">
        <v>182</v>
      </c>
      <c r="N43" s="7"/>
      <c r="O43" s="8" t="s">
        <v>128</v>
      </c>
      <c r="P43" s="7"/>
      <c r="Q43" s="5" t="s">
        <v>19</v>
      </c>
    </row>
    <row r="44" ht="15.75" customHeight="1">
      <c r="A44" s="5" t="s">
        <v>183</v>
      </c>
      <c r="B44" s="5"/>
      <c r="C44" s="6"/>
      <c r="D44" s="5"/>
      <c r="E44" s="5" t="s">
        <v>184</v>
      </c>
      <c r="F44" s="5" t="str">
        <f>IFERROR(__xludf.DUMMYFUNCTION("REGEXEXTRACT(E44, ""^[^0-9]+"")"),"aban")</f>
        <v>aban</v>
      </c>
      <c r="G44" s="5" t="s">
        <v>184</v>
      </c>
      <c r="H44" s="5" t="s">
        <v>19</v>
      </c>
      <c r="I44" s="5" t="s">
        <v>184</v>
      </c>
      <c r="J44" s="5" t="s">
        <v>19</v>
      </c>
      <c r="K44" s="10" t="s">
        <v>185</v>
      </c>
      <c r="L44" s="5" t="s">
        <v>184</v>
      </c>
      <c r="M44" s="7" t="s">
        <v>182</v>
      </c>
      <c r="N44" s="8" t="s">
        <v>186</v>
      </c>
      <c r="O44" s="8"/>
      <c r="P44" s="7"/>
      <c r="Q44" s="5" t="s">
        <v>19</v>
      </c>
    </row>
    <row r="45" ht="15.75" customHeight="1">
      <c r="A45" s="5" t="s">
        <v>187</v>
      </c>
      <c r="B45" s="5"/>
      <c r="C45" s="6"/>
      <c r="D45" s="5"/>
      <c r="E45" s="5" t="s">
        <v>188</v>
      </c>
      <c r="F45" s="5" t="str">
        <f>IFERROR(__xludf.DUMMYFUNCTION("REGEXEXTRACT(E45, ""^[^0-9]+"")"),"aban")</f>
        <v>aban</v>
      </c>
      <c r="G45" s="5" t="s">
        <v>188</v>
      </c>
      <c r="H45" s="5" t="s">
        <v>19</v>
      </c>
      <c r="I45" s="5" t="s">
        <v>188</v>
      </c>
      <c r="J45" s="5" t="s">
        <v>19</v>
      </c>
      <c r="K45" s="10" t="s">
        <v>189</v>
      </c>
      <c r="L45" s="5" t="s">
        <v>188</v>
      </c>
      <c r="M45" s="8" t="s">
        <v>182</v>
      </c>
      <c r="N45" s="8" t="s">
        <v>186</v>
      </c>
      <c r="O45" s="8"/>
      <c r="P45" s="7"/>
      <c r="Q45" s="5" t="s">
        <v>19</v>
      </c>
    </row>
    <row r="46" ht="15.75" customHeight="1">
      <c r="A46" s="5" t="s">
        <v>190</v>
      </c>
      <c r="B46" s="5" t="s">
        <v>191</v>
      </c>
      <c r="C46" s="6"/>
      <c r="D46" s="5"/>
      <c r="E46" s="5" t="s">
        <v>192</v>
      </c>
      <c r="F46" s="5" t="str">
        <f>IFERROR(__xludf.DUMMYFUNCTION("REGEXEXTRACT(E46, ""^[^0-9]+"")"),"aban")</f>
        <v>aban</v>
      </c>
      <c r="G46" s="5" t="s">
        <v>192</v>
      </c>
      <c r="H46" s="5" t="s">
        <v>19</v>
      </c>
      <c r="I46" s="5" t="s">
        <v>192</v>
      </c>
      <c r="J46" s="5" t="s">
        <v>19</v>
      </c>
      <c r="K46" s="10" t="s">
        <v>193</v>
      </c>
      <c r="L46" s="5" t="s">
        <v>192</v>
      </c>
      <c r="M46" s="7" t="s">
        <v>182</v>
      </c>
      <c r="N46" s="8" t="s">
        <v>186</v>
      </c>
      <c r="O46" s="8"/>
      <c r="P46" s="7"/>
      <c r="Q46" s="5" t="s">
        <v>19</v>
      </c>
    </row>
    <row r="47" ht="15.75" customHeight="1">
      <c r="A47" s="5" t="s">
        <v>194</v>
      </c>
      <c r="B47" s="5"/>
      <c r="C47" s="6"/>
      <c r="D47" s="5"/>
      <c r="E47" s="5" t="s">
        <v>195</v>
      </c>
      <c r="F47" s="5" t="str">
        <f>IFERROR(__xludf.DUMMYFUNCTION("REGEXEXTRACT(E47, ""^[^0-9]+"")"),"aban")</f>
        <v>aban</v>
      </c>
      <c r="G47" s="5" t="s">
        <v>195</v>
      </c>
      <c r="H47" s="5" t="s">
        <v>19</v>
      </c>
      <c r="I47" s="5" t="s">
        <v>195</v>
      </c>
      <c r="J47" s="5" t="s">
        <v>19</v>
      </c>
      <c r="K47" s="10" t="s">
        <v>196</v>
      </c>
      <c r="L47" s="5" t="s">
        <v>195</v>
      </c>
      <c r="M47" s="7" t="s">
        <v>182</v>
      </c>
      <c r="N47" s="8" t="s">
        <v>186</v>
      </c>
      <c r="O47" s="8"/>
      <c r="P47" s="7"/>
      <c r="Q47" s="5" t="s">
        <v>19</v>
      </c>
    </row>
    <row r="48" ht="15.75" customHeight="1">
      <c r="A48" s="5" t="s">
        <v>197</v>
      </c>
      <c r="B48" s="5"/>
      <c r="C48" s="6"/>
      <c r="D48" s="11"/>
      <c r="E48" s="9" t="s">
        <v>198</v>
      </c>
      <c r="F48" s="5" t="str">
        <f>IFERROR(__xludf.DUMMYFUNCTION("REGEXEXTRACT(E48, ""^[^0-9]+"")"),"aban")</f>
        <v>aban</v>
      </c>
      <c r="G48" s="5" t="s">
        <v>19</v>
      </c>
      <c r="H48" s="5" t="s">
        <v>19</v>
      </c>
      <c r="I48" s="5" t="s">
        <v>19</v>
      </c>
      <c r="J48" s="5" t="s">
        <v>19</v>
      </c>
      <c r="K48" s="5" t="s">
        <v>19</v>
      </c>
      <c r="L48" s="5" t="s">
        <v>19</v>
      </c>
      <c r="M48" s="7" t="s">
        <v>182</v>
      </c>
      <c r="N48" s="7"/>
      <c r="O48" s="7"/>
      <c r="P48" s="7"/>
      <c r="Q48" s="5" t="s">
        <v>19</v>
      </c>
    </row>
    <row r="49" ht="15.75" customHeight="1">
      <c r="A49" s="5" t="s">
        <v>199</v>
      </c>
      <c r="B49" s="5"/>
      <c r="C49" s="6"/>
      <c r="D49" s="11"/>
      <c r="E49" s="9" t="s">
        <v>200</v>
      </c>
      <c r="F49" s="5" t="str">
        <f>IFERROR(__xludf.DUMMYFUNCTION("REGEXEXTRACT(E49, ""^[^0-9]+"")"),"aban")</f>
        <v>aban</v>
      </c>
      <c r="G49" s="5" t="s">
        <v>19</v>
      </c>
      <c r="H49" s="5" t="s">
        <v>19</v>
      </c>
      <c r="I49" s="5" t="s">
        <v>19</v>
      </c>
      <c r="J49" s="5" t="s">
        <v>19</v>
      </c>
      <c r="K49" s="5" t="s">
        <v>19</v>
      </c>
      <c r="L49" s="5" t="s">
        <v>19</v>
      </c>
      <c r="M49" s="7" t="s">
        <v>182</v>
      </c>
      <c r="N49" s="7"/>
      <c r="O49" s="7"/>
      <c r="P49" s="7"/>
      <c r="Q49" s="5" t="s">
        <v>19</v>
      </c>
    </row>
    <row r="50" ht="15.75" customHeight="1">
      <c r="A50" s="5" t="s">
        <v>201</v>
      </c>
      <c r="B50" s="5"/>
      <c r="C50" s="6"/>
      <c r="D50" s="11"/>
      <c r="E50" s="9" t="s">
        <v>202</v>
      </c>
      <c r="F50" s="5" t="str">
        <f>IFERROR(__xludf.DUMMYFUNCTION("REGEXEXTRACT(E50, ""^[^0-9]+"")"),"aban")</f>
        <v>aban</v>
      </c>
      <c r="G50" s="5" t="s">
        <v>19</v>
      </c>
      <c r="H50" s="5" t="s">
        <v>19</v>
      </c>
      <c r="I50" s="5" t="s">
        <v>19</v>
      </c>
      <c r="J50" s="5" t="s">
        <v>19</v>
      </c>
      <c r="K50" s="5" t="s">
        <v>19</v>
      </c>
      <c r="L50" s="5" t="s">
        <v>19</v>
      </c>
      <c r="M50" s="7" t="s">
        <v>182</v>
      </c>
      <c r="N50" s="7"/>
      <c r="O50" s="7"/>
      <c r="P50" s="7"/>
      <c r="Q50" s="5" t="s">
        <v>19</v>
      </c>
    </row>
    <row r="51" ht="15.75" customHeight="1">
      <c r="A51" s="5" t="s">
        <v>203</v>
      </c>
      <c r="B51" s="5"/>
      <c r="C51" s="6"/>
      <c r="D51" s="5"/>
      <c r="E51" s="5" t="s">
        <v>19</v>
      </c>
      <c r="F51" s="5" t="str">
        <f>IFERROR(__xludf.DUMMYFUNCTION("REGEXEXTRACT(E51, ""^[^0-9]+"")"),"NA")</f>
        <v>NA</v>
      </c>
      <c r="G51" s="9" t="s">
        <v>204</v>
      </c>
      <c r="H51" s="5" t="s">
        <v>19</v>
      </c>
      <c r="I51" s="9" t="s">
        <v>204</v>
      </c>
      <c r="J51" s="5" t="s">
        <v>19</v>
      </c>
      <c r="K51" s="10" t="s">
        <v>205</v>
      </c>
      <c r="L51" s="9" t="s">
        <v>204</v>
      </c>
      <c r="M51" s="8" t="s">
        <v>206</v>
      </c>
      <c r="N51" s="7"/>
      <c r="O51" s="7"/>
      <c r="P51" s="7"/>
      <c r="Q51" s="5" t="s">
        <v>19</v>
      </c>
    </row>
    <row r="52" ht="15.75" customHeight="1">
      <c r="A52" s="5" t="s">
        <v>207</v>
      </c>
      <c r="B52" s="5"/>
      <c r="C52" s="6"/>
      <c r="D52" s="5"/>
      <c r="E52" s="5" t="s">
        <v>19</v>
      </c>
      <c r="F52" s="5" t="str">
        <f>IFERROR(__xludf.DUMMYFUNCTION("REGEXEXTRACT(E52, ""^[^0-9]+"")"),"NA")</f>
        <v>NA</v>
      </c>
      <c r="G52" s="5" t="s">
        <v>208</v>
      </c>
      <c r="H52" s="5" t="s">
        <v>19</v>
      </c>
      <c r="I52" s="5" t="s">
        <v>208</v>
      </c>
      <c r="J52" s="5" t="s">
        <v>19</v>
      </c>
      <c r="K52" s="10" t="s">
        <v>209</v>
      </c>
      <c r="L52" s="5" t="s">
        <v>208</v>
      </c>
      <c r="M52" s="7" t="s">
        <v>206</v>
      </c>
      <c r="N52" s="7"/>
      <c r="O52" s="7"/>
      <c r="P52" s="7"/>
      <c r="Q52" s="5" t="s">
        <v>19</v>
      </c>
    </row>
    <row r="53" ht="15.75" customHeight="1">
      <c r="A53" s="5" t="s">
        <v>210</v>
      </c>
      <c r="B53" s="5"/>
      <c r="C53" s="6"/>
      <c r="D53" s="5"/>
      <c r="E53" s="5" t="s">
        <v>19</v>
      </c>
      <c r="F53" s="5" t="str">
        <f>IFERROR(__xludf.DUMMYFUNCTION("REGEXEXTRACT(E53, ""^[^0-9]+"")"),"NA")</f>
        <v>NA</v>
      </c>
      <c r="G53" s="9" t="s">
        <v>211</v>
      </c>
      <c r="H53" s="5" t="s">
        <v>19</v>
      </c>
      <c r="I53" s="9" t="s">
        <v>211</v>
      </c>
      <c r="J53" s="5" t="s">
        <v>19</v>
      </c>
      <c r="K53" s="10" t="s">
        <v>212</v>
      </c>
      <c r="L53" s="9" t="s">
        <v>211</v>
      </c>
      <c r="M53" s="7" t="s">
        <v>206</v>
      </c>
      <c r="N53" s="7"/>
      <c r="O53" s="7"/>
      <c r="P53" s="7"/>
      <c r="Q53" s="5" t="s">
        <v>19</v>
      </c>
    </row>
    <row r="54" ht="15.75" customHeight="1">
      <c r="A54" s="5" t="s">
        <v>213</v>
      </c>
      <c r="B54" s="5"/>
      <c r="C54" s="6"/>
      <c r="D54" s="11"/>
      <c r="E54" s="9" t="s">
        <v>214</v>
      </c>
      <c r="F54" s="5" t="str">
        <f>IFERROR(__xludf.DUMMYFUNCTION("REGEXEXTRACT(E54, ""^[^0-9]+"")"),"cens")</f>
        <v>cens</v>
      </c>
      <c r="G54" s="5" t="s">
        <v>215</v>
      </c>
      <c r="H54" s="5" t="s">
        <v>19</v>
      </c>
      <c r="I54" s="5" t="s">
        <v>215</v>
      </c>
      <c r="J54" s="5" t="s">
        <v>19</v>
      </c>
      <c r="K54" s="10" t="s">
        <v>216</v>
      </c>
      <c r="L54" s="5" t="s">
        <v>215</v>
      </c>
      <c r="M54" s="7" t="s">
        <v>206</v>
      </c>
      <c r="N54" s="7"/>
      <c r="O54" s="7"/>
      <c r="P54" s="7"/>
      <c r="Q54" s="5" t="s">
        <v>19</v>
      </c>
    </row>
    <row r="55" ht="15.75" customHeight="1">
      <c r="A55" s="5" t="s">
        <v>217</v>
      </c>
      <c r="B55" s="5"/>
      <c r="C55" s="6"/>
      <c r="D55" s="5"/>
      <c r="E55" s="5" t="s">
        <v>19</v>
      </c>
      <c r="F55" s="5" t="str">
        <f>IFERROR(__xludf.DUMMYFUNCTION("REGEXEXTRACT(E55, ""^[^0-9]+"")"),"NA")</f>
        <v>NA</v>
      </c>
      <c r="G55" s="5" t="s">
        <v>218</v>
      </c>
      <c r="H55" s="5" t="s">
        <v>19</v>
      </c>
      <c r="I55" s="5" t="s">
        <v>218</v>
      </c>
      <c r="J55" s="5" t="s">
        <v>19</v>
      </c>
      <c r="K55" s="10" t="s">
        <v>219</v>
      </c>
      <c r="L55" s="5" t="s">
        <v>218</v>
      </c>
      <c r="M55" s="7" t="s">
        <v>206</v>
      </c>
      <c r="N55" s="7"/>
      <c r="O55" s="7"/>
      <c r="P55" s="7"/>
      <c r="Q55" s="5" t="s">
        <v>19</v>
      </c>
    </row>
    <row r="56" ht="15.75" customHeight="1">
      <c r="A56" s="5" t="s">
        <v>220</v>
      </c>
      <c r="B56" s="5"/>
      <c r="C56" s="6"/>
      <c r="D56" s="5"/>
      <c r="E56" s="5" t="s">
        <v>19</v>
      </c>
      <c r="F56" s="5" t="str">
        <f>IFERROR(__xludf.DUMMYFUNCTION("REGEXEXTRACT(E56, ""^[^0-9]+"")"),"NA")</f>
        <v>NA</v>
      </c>
      <c r="G56" s="5" t="s">
        <v>221</v>
      </c>
      <c r="H56" s="5" t="s">
        <v>19</v>
      </c>
      <c r="I56" s="5" t="s">
        <v>221</v>
      </c>
      <c r="J56" s="5" t="s">
        <v>19</v>
      </c>
      <c r="K56" s="10" t="s">
        <v>222</v>
      </c>
      <c r="L56" s="5" t="s">
        <v>221</v>
      </c>
      <c r="M56" s="7" t="s">
        <v>206</v>
      </c>
      <c r="N56" s="7"/>
      <c r="O56" s="7"/>
      <c r="P56" s="7"/>
      <c r="Q56" s="5" t="s">
        <v>19</v>
      </c>
    </row>
    <row r="57" ht="15.75" customHeight="1">
      <c r="A57" s="14" t="s">
        <v>223</v>
      </c>
      <c r="B57" s="5" t="s">
        <v>224</v>
      </c>
      <c r="C57" s="6"/>
      <c r="D57" s="11"/>
      <c r="E57" s="9" t="s">
        <v>225</v>
      </c>
      <c r="F57" s="5" t="str">
        <f>IFERROR(__xludf.DUMMYFUNCTION("REGEXEXTRACT(E57, ""^[^0-9]+"")"),"cens")</f>
        <v>cens</v>
      </c>
      <c r="G57" s="9" t="s">
        <v>226</v>
      </c>
      <c r="H57" s="5" t="s">
        <v>19</v>
      </c>
      <c r="I57" s="9" t="s">
        <v>226</v>
      </c>
      <c r="J57" s="5" t="s">
        <v>19</v>
      </c>
      <c r="K57" s="15" t="s">
        <v>19</v>
      </c>
      <c r="L57" s="5" t="s">
        <v>19</v>
      </c>
      <c r="M57" s="8" t="s">
        <v>227</v>
      </c>
      <c r="N57" s="8"/>
      <c r="O57" s="8"/>
      <c r="P57" s="8" t="s">
        <v>228</v>
      </c>
      <c r="Q57" s="5" t="s">
        <v>19</v>
      </c>
    </row>
    <row r="58" ht="15.75" customHeight="1">
      <c r="A58" s="5" t="s">
        <v>229</v>
      </c>
      <c r="B58" s="5"/>
      <c r="C58" s="6"/>
      <c r="D58" s="5"/>
      <c r="E58" s="5" t="s">
        <v>19</v>
      </c>
      <c r="F58" s="5" t="str">
        <f>IFERROR(__xludf.DUMMYFUNCTION("REGEXEXTRACT(E58, ""^[^0-9]+"")"),"NA")</f>
        <v>NA</v>
      </c>
      <c r="G58" s="9" t="s">
        <v>230</v>
      </c>
      <c r="H58" s="5" t="s">
        <v>19</v>
      </c>
      <c r="I58" s="9" t="s">
        <v>230</v>
      </c>
      <c r="J58" s="5" t="s">
        <v>19</v>
      </c>
      <c r="K58" s="15" t="s">
        <v>19</v>
      </c>
      <c r="L58" s="5" t="s">
        <v>19</v>
      </c>
      <c r="M58" s="8" t="s">
        <v>227</v>
      </c>
      <c r="N58" s="7"/>
      <c r="O58" s="7"/>
      <c r="P58" s="7"/>
      <c r="Q58" s="5" t="s">
        <v>19</v>
      </c>
    </row>
    <row r="59" ht="15.75" customHeight="1">
      <c r="A59" s="5" t="s">
        <v>231</v>
      </c>
      <c r="B59" s="5"/>
      <c r="C59" s="6"/>
      <c r="D59" s="11"/>
      <c r="E59" s="9" t="s">
        <v>232</v>
      </c>
      <c r="F59" s="5" t="str">
        <f>IFERROR(__xludf.DUMMYFUNCTION("REGEXEXTRACT(E59, ""^[^0-9]+"")"),"cens")</f>
        <v>cens</v>
      </c>
      <c r="G59" s="9" t="s">
        <v>233</v>
      </c>
      <c r="H59" s="5" t="s">
        <v>19</v>
      </c>
      <c r="I59" s="9" t="s">
        <v>233</v>
      </c>
      <c r="J59" s="5" t="s">
        <v>19</v>
      </c>
      <c r="K59" s="15" t="s">
        <v>19</v>
      </c>
      <c r="L59" s="5" t="s">
        <v>19</v>
      </c>
      <c r="M59" s="8" t="s">
        <v>227</v>
      </c>
      <c r="N59" s="8"/>
      <c r="O59" s="8"/>
      <c r="P59" s="8" t="s">
        <v>228</v>
      </c>
      <c r="Q59" s="5" t="s">
        <v>19</v>
      </c>
    </row>
    <row r="60" ht="15.75" customHeight="1">
      <c r="A60" s="5" t="s">
        <v>234</v>
      </c>
      <c r="B60" s="5"/>
      <c r="C60" s="6"/>
      <c r="D60" s="5"/>
      <c r="E60" s="5" t="s">
        <v>19</v>
      </c>
      <c r="F60" s="5" t="str">
        <f>IFERROR(__xludf.DUMMYFUNCTION("REGEXEXTRACT(E60, ""^[^0-9]+"")"),"NA")</f>
        <v>NA</v>
      </c>
      <c r="G60" s="9" t="s">
        <v>235</v>
      </c>
      <c r="H60" s="12" t="s">
        <v>236</v>
      </c>
      <c r="I60" s="9" t="s">
        <v>236</v>
      </c>
      <c r="J60" s="5" t="s">
        <v>236</v>
      </c>
      <c r="K60" s="10" t="s">
        <v>237</v>
      </c>
      <c r="L60" s="9" t="s">
        <v>236</v>
      </c>
      <c r="M60" s="8" t="s">
        <v>238</v>
      </c>
      <c r="N60" s="7"/>
      <c r="O60" s="7"/>
      <c r="P60" s="7"/>
      <c r="Q60" s="5" t="s">
        <v>236</v>
      </c>
    </row>
    <row r="61" ht="15.75" customHeight="1">
      <c r="A61" s="5" t="s">
        <v>239</v>
      </c>
      <c r="B61" s="5"/>
      <c r="C61" s="6"/>
      <c r="D61" s="5"/>
      <c r="E61" s="5" t="s">
        <v>19</v>
      </c>
      <c r="F61" s="5" t="str">
        <f>IFERROR(__xludf.DUMMYFUNCTION("REGEXEXTRACT(E61, ""^[^0-9]+"")"),"NA")</f>
        <v>NA</v>
      </c>
      <c r="G61" s="5" t="s">
        <v>240</v>
      </c>
      <c r="H61" s="12" t="s">
        <v>241</v>
      </c>
      <c r="I61" s="5" t="s">
        <v>241</v>
      </c>
      <c r="J61" s="5" t="s">
        <v>241</v>
      </c>
      <c r="K61" s="10" t="s">
        <v>242</v>
      </c>
      <c r="L61" s="5" t="s">
        <v>241</v>
      </c>
      <c r="M61" s="7" t="s">
        <v>238</v>
      </c>
      <c r="N61" s="7"/>
      <c r="O61" s="7"/>
      <c r="P61" s="7"/>
      <c r="Q61" s="5" t="s">
        <v>241</v>
      </c>
    </row>
    <row r="62" ht="15.75" customHeight="1">
      <c r="A62" s="5" t="s">
        <v>243</v>
      </c>
      <c r="B62" s="5"/>
      <c r="C62" s="6"/>
      <c r="D62" s="5"/>
      <c r="E62" s="5" t="s">
        <v>19</v>
      </c>
      <c r="F62" s="5" t="str">
        <f>IFERROR(__xludf.DUMMYFUNCTION("REGEXEXTRACT(E62, ""^[^0-9]+"")"),"NA")</f>
        <v>NA</v>
      </c>
      <c r="G62" s="9" t="s">
        <v>244</v>
      </c>
      <c r="H62" s="12" t="s">
        <v>245</v>
      </c>
      <c r="I62" s="9" t="s">
        <v>245</v>
      </c>
      <c r="J62" s="5" t="s">
        <v>245</v>
      </c>
      <c r="K62" s="10" t="s">
        <v>246</v>
      </c>
      <c r="L62" s="9" t="s">
        <v>245</v>
      </c>
      <c r="M62" s="7" t="s">
        <v>238</v>
      </c>
      <c r="N62" s="7"/>
      <c r="O62" s="7"/>
      <c r="P62" s="7"/>
      <c r="Q62" s="5" t="s">
        <v>245</v>
      </c>
    </row>
    <row r="63" ht="15.75" customHeight="1">
      <c r="A63" s="5" t="s">
        <v>247</v>
      </c>
      <c r="B63" s="5"/>
      <c r="C63" s="6"/>
      <c r="D63" s="5"/>
      <c r="E63" s="5" t="s">
        <v>19</v>
      </c>
      <c r="F63" s="5" t="str">
        <f>IFERROR(__xludf.DUMMYFUNCTION("REGEXEXTRACT(E63, ""^[^0-9]+"")"),"NA")</f>
        <v>NA</v>
      </c>
      <c r="G63" s="5" t="s">
        <v>248</v>
      </c>
      <c r="H63" s="12" t="s">
        <v>249</v>
      </c>
      <c r="I63" s="5" t="s">
        <v>249</v>
      </c>
      <c r="J63" s="5" t="s">
        <v>249</v>
      </c>
      <c r="K63" s="10" t="s">
        <v>250</v>
      </c>
      <c r="L63" s="5" t="s">
        <v>249</v>
      </c>
      <c r="M63" s="7" t="s">
        <v>238</v>
      </c>
      <c r="N63" s="7"/>
      <c r="O63" s="7"/>
      <c r="P63" s="7"/>
      <c r="Q63" s="5" t="s">
        <v>249</v>
      </c>
    </row>
    <row r="64" ht="15.75" customHeight="1">
      <c r="A64" s="5" t="s">
        <v>251</v>
      </c>
      <c r="B64" s="5"/>
      <c r="C64" s="6"/>
      <c r="D64" s="5"/>
      <c r="E64" s="5" t="s">
        <v>19</v>
      </c>
      <c r="F64" s="5" t="str">
        <f>IFERROR(__xludf.DUMMYFUNCTION("REGEXEXTRACT(E64, ""^[^0-9]+"")"),"NA")</f>
        <v>NA</v>
      </c>
      <c r="G64" s="9" t="s">
        <v>252</v>
      </c>
      <c r="H64" s="12" t="s">
        <v>253</v>
      </c>
      <c r="I64" s="9" t="s">
        <v>253</v>
      </c>
      <c r="J64" s="5" t="s">
        <v>19</v>
      </c>
      <c r="K64" s="10" t="s">
        <v>254</v>
      </c>
      <c r="L64" s="9" t="s">
        <v>253</v>
      </c>
      <c r="M64" s="7" t="s">
        <v>238</v>
      </c>
      <c r="N64" s="7"/>
      <c r="O64" s="7"/>
      <c r="P64" s="7"/>
      <c r="Q64" s="5" t="s">
        <v>19</v>
      </c>
    </row>
    <row r="65" ht="15.75" customHeight="1">
      <c r="A65" s="5" t="s">
        <v>255</v>
      </c>
      <c r="B65" s="5"/>
      <c r="C65" s="6"/>
      <c r="D65" s="5"/>
      <c r="E65" s="5" t="s">
        <v>19</v>
      </c>
      <c r="F65" s="5" t="str">
        <f>IFERROR(__xludf.DUMMYFUNCTION("REGEXEXTRACT(E65, ""^[^0-9]+"")"),"NA")</f>
        <v>NA</v>
      </c>
      <c r="G65" s="9" t="s">
        <v>256</v>
      </c>
      <c r="H65" s="12" t="s">
        <v>257</v>
      </c>
      <c r="I65" s="9" t="s">
        <v>257</v>
      </c>
      <c r="J65" s="5" t="s">
        <v>19</v>
      </c>
      <c r="K65" s="10" t="s">
        <v>258</v>
      </c>
      <c r="L65" s="9" t="s">
        <v>257</v>
      </c>
      <c r="M65" s="7" t="s">
        <v>238</v>
      </c>
      <c r="N65" s="7"/>
      <c r="O65" s="7"/>
      <c r="P65" s="7"/>
      <c r="Q65" s="5" t="s">
        <v>19</v>
      </c>
    </row>
    <row r="66" ht="15.75" customHeight="1">
      <c r="A66" s="5" t="s">
        <v>259</v>
      </c>
      <c r="B66" s="5" t="s">
        <v>260</v>
      </c>
      <c r="C66" s="6"/>
      <c r="D66" s="5" t="s">
        <v>260</v>
      </c>
      <c r="E66" s="9" t="s">
        <v>261</v>
      </c>
      <c r="F66" s="5" t="str">
        <f>IFERROR(__xludf.DUMMYFUNCTION("REGEXEXTRACT(E66, ""^[^0-9]+"")"),"cens")</f>
        <v>cens</v>
      </c>
      <c r="G66" s="5" t="s">
        <v>262</v>
      </c>
      <c r="H66" s="12" t="s">
        <v>263</v>
      </c>
      <c r="I66" s="5" t="s">
        <v>263</v>
      </c>
      <c r="J66" s="5" t="s">
        <v>263</v>
      </c>
      <c r="K66" s="10" t="s">
        <v>264</v>
      </c>
      <c r="L66" s="5" t="s">
        <v>263</v>
      </c>
      <c r="M66" s="7" t="s">
        <v>238</v>
      </c>
      <c r="N66" s="8"/>
      <c r="O66" s="8"/>
      <c r="P66" s="8" t="s">
        <v>228</v>
      </c>
      <c r="Q66" s="5" t="s">
        <v>263</v>
      </c>
    </row>
    <row r="67" ht="15.75" customHeight="1">
      <c r="A67" s="5" t="s">
        <v>265</v>
      </c>
      <c r="B67" s="5"/>
      <c r="C67" s="6"/>
      <c r="D67" s="5"/>
      <c r="E67" s="5" t="s">
        <v>19</v>
      </c>
      <c r="F67" s="5" t="str">
        <f>IFERROR(__xludf.DUMMYFUNCTION("REGEXEXTRACT(E67, ""^[^0-9]+"")"),"NA")</f>
        <v>NA</v>
      </c>
      <c r="G67" s="9" t="s">
        <v>266</v>
      </c>
      <c r="H67" s="12" t="s">
        <v>267</v>
      </c>
      <c r="I67" s="9" t="s">
        <v>267</v>
      </c>
      <c r="J67" s="5" t="s">
        <v>267</v>
      </c>
      <c r="K67" s="10" t="s">
        <v>268</v>
      </c>
      <c r="L67" s="9" t="s">
        <v>267</v>
      </c>
      <c r="M67" s="7" t="s">
        <v>238</v>
      </c>
      <c r="N67" s="7"/>
      <c r="O67" s="7"/>
      <c r="P67" s="7"/>
      <c r="Q67" s="5" t="s">
        <v>267</v>
      </c>
    </row>
    <row r="68" ht="15.75" customHeight="1">
      <c r="A68" s="5" t="s">
        <v>269</v>
      </c>
      <c r="B68" s="5"/>
      <c r="C68" s="6"/>
      <c r="D68" s="11"/>
      <c r="E68" s="9" t="s">
        <v>270</v>
      </c>
      <c r="F68" s="5" t="str">
        <f>IFERROR(__xludf.DUMMYFUNCTION("REGEXEXTRACT(E68, ""^[^0-9]+"")"),"cens")</f>
        <v>cens</v>
      </c>
      <c r="G68" s="5" t="s">
        <v>19</v>
      </c>
      <c r="H68" s="5" t="s">
        <v>19</v>
      </c>
      <c r="I68" s="5" t="s">
        <v>19</v>
      </c>
      <c r="J68" s="5" t="s">
        <v>19</v>
      </c>
      <c r="K68" s="5" t="s">
        <v>19</v>
      </c>
      <c r="L68" s="5" t="s">
        <v>19</v>
      </c>
      <c r="M68" s="7"/>
      <c r="N68" s="8"/>
      <c r="O68" s="8"/>
      <c r="P68" s="8" t="s">
        <v>228</v>
      </c>
      <c r="Q68" s="5" t="s">
        <v>19</v>
      </c>
    </row>
    <row r="69" ht="15.75" customHeight="1">
      <c r="A69" s="5" t="s">
        <v>271</v>
      </c>
      <c r="B69" s="5"/>
      <c r="C69" s="6"/>
      <c r="D69" s="5"/>
      <c r="E69" s="5" t="s">
        <v>19</v>
      </c>
      <c r="F69" s="5" t="str">
        <f>IFERROR(__xludf.DUMMYFUNCTION("REGEXEXTRACT(E69, ""^[^0-9]+"")"),"NA")</f>
        <v>NA</v>
      </c>
      <c r="G69" s="9" t="s">
        <v>272</v>
      </c>
      <c r="H69" s="12" t="s">
        <v>273</v>
      </c>
      <c r="I69" s="9" t="s">
        <v>273</v>
      </c>
      <c r="J69" s="5" t="s">
        <v>273</v>
      </c>
      <c r="K69" s="10" t="s">
        <v>274</v>
      </c>
      <c r="L69" s="9" t="s">
        <v>273</v>
      </c>
      <c r="M69" s="5" t="s">
        <v>275</v>
      </c>
      <c r="N69" s="11"/>
      <c r="O69" s="11"/>
      <c r="P69" s="7"/>
      <c r="Q69" s="5" t="s">
        <v>273</v>
      </c>
    </row>
    <row r="70" ht="15.75" customHeight="1">
      <c r="A70" s="5" t="s">
        <v>276</v>
      </c>
      <c r="B70" s="5"/>
      <c r="C70" s="6"/>
      <c r="D70" s="5"/>
      <c r="E70" s="5" t="s">
        <v>19</v>
      </c>
      <c r="F70" s="5" t="str">
        <f>IFERROR(__xludf.DUMMYFUNCTION("REGEXEXTRACT(E70, ""^[^0-9]+"")"),"NA")</f>
        <v>NA</v>
      </c>
      <c r="G70" s="5" t="s">
        <v>277</v>
      </c>
      <c r="H70" s="12" t="s">
        <v>278</v>
      </c>
      <c r="I70" s="5" t="s">
        <v>278</v>
      </c>
      <c r="J70" s="5" t="s">
        <v>19</v>
      </c>
      <c r="K70" s="10" t="s">
        <v>279</v>
      </c>
      <c r="L70" s="5" t="s">
        <v>278</v>
      </c>
      <c r="M70" s="5" t="s">
        <v>275</v>
      </c>
      <c r="N70" s="11"/>
      <c r="O70" s="11"/>
      <c r="P70" s="7"/>
      <c r="Q70" s="5" t="s">
        <v>19</v>
      </c>
    </row>
    <row r="71" ht="15.75" customHeight="1">
      <c r="A71" s="5" t="s">
        <v>280</v>
      </c>
      <c r="B71" s="5"/>
      <c r="C71" s="6"/>
      <c r="D71" s="5"/>
      <c r="E71" s="5" t="s">
        <v>19</v>
      </c>
      <c r="F71" s="5" t="str">
        <f>IFERROR(__xludf.DUMMYFUNCTION("REGEXEXTRACT(E71, ""^[^0-9]+"")"),"NA")</f>
        <v>NA</v>
      </c>
      <c r="G71" s="9" t="s">
        <v>281</v>
      </c>
      <c r="H71" s="12" t="s">
        <v>282</v>
      </c>
      <c r="I71" s="9" t="s">
        <v>282</v>
      </c>
      <c r="J71" s="5" t="s">
        <v>19</v>
      </c>
      <c r="K71" s="10" t="s">
        <v>283</v>
      </c>
      <c r="L71" s="9" t="s">
        <v>282</v>
      </c>
      <c r="M71" s="5" t="s">
        <v>275</v>
      </c>
      <c r="N71" s="11"/>
      <c r="O71" s="11"/>
      <c r="P71" s="7"/>
      <c r="Q71" s="5" t="s">
        <v>19</v>
      </c>
    </row>
    <row r="72" ht="15.75" customHeight="1">
      <c r="A72" s="5" t="s">
        <v>284</v>
      </c>
      <c r="B72" s="5"/>
      <c r="C72" s="6"/>
      <c r="D72" s="5"/>
      <c r="E72" s="5" t="s">
        <v>19</v>
      </c>
      <c r="F72" s="5" t="str">
        <f>IFERROR(__xludf.DUMMYFUNCTION("REGEXEXTRACT(E72, ""^[^0-9]+"")"),"NA")</f>
        <v>NA</v>
      </c>
      <c r="G72" s="5" t="s">
        <v>19</v>
      </c>
      <c r="H72" s="5" t="s">
        <v>19</v>
      </c>
      <c r="I72" s="5" t="s">
        <v>19</v>
      </c>
      <c r="J72" s="16" t="s">
        <v>278</v>
      </c>
      <c r="K72" s="5" t="s">
        <v>19</v>
      </c>
      <c r="L72" s="5" t="s">
        <v>19</v>
      </c>
      <c r="M72" s="5" t="s">
        <v>275</v>
      </c>
      <c r="N72" s="11"/>
      <c r="O72" s="11"/>
      <c r="P72" s="7"/>
      <c r="Q72" s="5" t="s">
        <v>278</v>
      </c>
    </row>
    <row r="73" ht="15.75" customHeight="1">
      <c r="A73" s="5" t="s">
        <v>285</v>
      </c>
      <c r="B73" s="5"/>
      <c r="C73" s="6"/>
      <c r="D73" s="5"/>
      <c r="E73" s="5" t="s">
        <v>19</v>
      </c>
      <c r="F73" s="5" t="str">
        <f>IFERROR(__xludf.DUMMYFUNCTION("REGEXEXTRACT(E73, ""^[^0-9]+"")"),"NA")</f>
        <v>NA</v>
      </c>
      <c r="G73" s="9" t="s">
        <v>286</v>
      </c>
      <c r="H73" s="12" t="s">
        <v>287</v>
      </c>
      <c r="I73" s="9" t="s">
        <v>287</v>
      </c>
      <c r="J73" s="5" t="s">
        <v>19</v>
      </c>
      <c r="K73" s="10" t="s">
        <v>288</v>
      </c>
      <c r="L73" s="9" t="s">
        <v>287</v>
      </c>
      <c r="M73" s="5" t="s">
        <v>275</v>
      </c>
      <c r="N73" s="11"/>
      <c r="O73" s="11"/>
      <c r="P73" s="7"/>
      <c r="Q73" s="5" t="s">
        <v>19</v>
      </c>
    </row>
    <row r="74" ht="15.75" customHeight="1">
      <c r="A74" s="5" t="s">
        <v>289</v>
      </c>
      <c r="B74" s="5"/>
      <c r="C74" s="6"/>
      <c r="D74" s="5"/>
      <c r="E74" s="5" t="s">
        <v>19</v>
      </c>
      <c r="F74" s="5" t="str">
        <f>IFERROR(__xludf.DUMMYFUNCTION("REGEXEXTRACT(E74, ""^[^0-9]+"")"),"NA")</f>
        <v>NA</v>
      </c>
      <c r="G74" s="9" t="s">
        <v>290</v>
      </c>
      <c r="H74" s="12" t="s">
        <v>291</v>
      </c>
      <c r="I74" s="9" t="s">
        <v>291</v>
      </c>
      <c r="J74" s="5" t="s">
        <v>19</v>
      </c>
      <c r="K74" s="10" t="s">
        <v>292</v>
      </c>
      <c r="L74" s="9" t="s">
        <v>291</v>
      </c>
      <c r="M74" s="5" t="s">
        <v>275</v>
      </c>
      <c r="N74" s="11"/>
      <c r="O74" s="11"/>
      <c r="P74" s="7"/>
      <c r="Q74" s="5" t="s">
        <v>19</v>
      </c>
    </row>
    <row r="75" ht="15.75" customHeight="1">
      <c r="A75" s="5" t="s">
        <v>293</v>
      </c>
      <c r="B75" s="5"/>
      <c r="C75" s="6"/>
      <c r="D75" s="5"/>
      <c r="E75" s="5" t="s">
        <v>19</v>
      </c>
      <c r="F75" s="5" t="str">
        <f>IFERROR(__xludf.DUMMYFUNCTION("REGEXEXTRACT(E75, ""^[^0-9]+"")"),"NA")</f>
        <v>NA</v>
      </c>
      <c r="G75" s="5" t="s">
        <v>19</v>
      </c>
      <c r="H75" s="5" t="s">
        <v>19</v>
      </c>
      <c r="I75" s="5" t="s">
        <v>19</v>
      </c>
      <c r="J75" s="16" t="s">
        <v>287</v>
      </c>
      <c r="K75" s="5" t="s">
        <v>19</v>
      </c>
      <c r="L75" s="5" t="s">
        <v>19</v>
      </c>
      <c r="M75" s="5" t="s">
        <v>275</v>
      </c>
      <c r="N75" s="11"/>
      <c r="O75" s="11"/>
      <c r="P75" s="7"/>
      <c r="Q75" s="5" t="s">
        <v>287</v>
      </c>
    </row>
    <row r="76" ht="15.75" customHeight="1">
      <c r="A76" s="5" t="s">
        <v>294</v>
      </c>
      <c r="B76" s="5"/>
      <c r="C76" s="6"/>
      <c r="D76" s="5"/>
      <c r="E76" s="5" t="s">
        <v>19</v>
      </c>
      <c r="F76" s="5" t="str">
        <f>IFERROR(__xludf.DUMMYFUNCTION("REGEXEXTRACT(E76, ""^[^0-9]+"")"),"NA")</f>
        <v>NA</v>
      </c>
      <c r="G76" s="5" t="s">
        <v>295</v>
      </c>
      <c r="H76" s="12" t="s">
        <v>296</v>
      </c>
      <c r="I76" s="5" t="s">
        <v>296</v>
      </c>
      <c r="J76" s="5" t="s">
        <v>19</v>
      </c>
      <c r="K76" s="10" t="s">
        <v>297</v>
      </c>
      <c r="L76" s="5" t="s">
        <v>296</v>
      </c>
      <c r="M76" s="5" t="s">
        <v>275</v>
      </c>
      <c r="N76" s="11"/>
      <c r="O76" s="11"/>
      <c r="P76" s="7"/>
      <c r="Q76" s="5" t="s">
        <v>19</v>
      </c>
    </row>
    <row r="77" ht="15.75" customHeight="1">
      <c r="A77" s="5" t="s">
        <v>298</v>
      </c>
      <c r="B77" s="5"/>
      <c r="C77" s="6"/>
      <c r="D77" s="5"/>
      <c r="E77" s="5" t="s">
        <v>299</v>
      </c>
      <c r="F77" s="5" t="str">
        <f>IFERROR(__xludf.DUMMYFUNCTION("REGEXEXTRACT(E77, ""^[^0-9]+"")"),"sup_ru")</f>
        <v>sup_ru</v>
      </c>
      <c r="G77" s="5" t="s">
        <v>300</v>
      </c>
      <c r="H77" s="12" t="s">
        <v>301</v>
      </c>
      <c r="I77" s="5" t="s">
        <v>301</v>
      </c>
      <c r="J77" s="5" t="s">
        <v>19</v>
      </c>
      <c r="K77" s="10" t="s">
        <v>302</v>
      </c>
      <c r="L77" s="5" t="s">
        <v>301</v>
      </c>
      <c r="M77" s="7" t="s">
        <v>303</v>
      </c>
      <c r="N77" s="8" t="s">
        <v>304</v>
      </c>
      <c r="O77" s="7"/>
      <c r="P77" s="7"/>
      <c r="Q77" s="5" t="s">
        <v>19</v>
      </c>
    </row>
    <row r="78" ht="15.75" customHeight="1">
      <c r="A78" s="5" t="s">
        <v>305</v>
      </c>
      <c r="B78" s="5" t="s">
        <v>306</v>
      </c>
      <c r="C78" s="6"/>
      <c r="D78" s="5"/>
      <c r="E78" s="5" t="s">
        <v>307</v>
      </c>
      <c r="F78" s="5" t="str">
        <f>IFERROR(__xludf.DUMMYFUNCTION("REGEXEXTRACT(E78, ""^[^0-9]+"")"),"sup_ru")</f>
        <v>sup_ru</v>
      </c>
      <c r="G78" s="5" t="s">
        <v>308</v>
      </c>
      <c r="H78" s="12" t="s">
        <v>309</v>
      </c>
      <c r="I78" s="5" t="s">
        <v>309</v>
      </c>
      <c r="J78" s="5" t="s">
        <v>19</v>
      </c>
      <c r="K78" s="10" t="s">
        <v>310</v>
      </c>
      <c r="L78" s="5" t="s">
        <v>309</v>
      </c>
      <c r="M78" s="7" t="s">
        <v>303</v>
      </c>
      <c r="N78" s="7"/>
      <c r="O78" s="8" t="s">
        <v>311</v>
      </c>
      <c r="P78" s="7"/>
      <c r="Q78" s="5" t="s">
        <v>19</v>
      </c>
    </row>
    <row r="79" ht="15.75" customHeight="1">
      <c r="A79" s="5" t="s">
        <v>312</v>
      </c>
      <c r="B79" s="5"/>
      <c r="C79" s="6"/>
      <c r="D79" s="5"/>
      <c r="E79" s="5" t="s">
        <v>313</v>
      </c>
      <c r="F79" s="5" t="str">
        <f>IFERROR(__xludf.DUMMYFUNCTION("REGEXEXTRACT(E79, ""^[^0-9]+"")"),"sup_ru")</f>
        <v>sup_ru</v>
      </c>
      <c r="G79" s="5" t="s">
        <v>314</v>
      </c>
      <c r="H79" s="12" t="s">
        <v>315</v>
      </c>
      <c r="I79" s="5" t="s">
        <v>315</v>
      </c>
      <c r="J79" s="5" t="s">
        <v>19</v>
      </c>
      <c r="K79" s="10" t="s">
        <v>316</v>
      </c>
      <c r="L79" s="5" t="s">
        <v>315</v>
      </c>
      <c r="M79" s="7" t="s">
        <v>303</v>
      </c>
      <c r="N79" s="8" t="s">
        <v>304</v>
      </c>
      <c r="O79" s="7"/>
      <c r="P79" s="7"/>
      <c r="Q79" s="5" t="s">
        <v>19</v>
      </c>
    </row>
    <row r="80" ht="15.75" customHeight="1">
      <c r="A80" s="5" t="s">
        <v>317</v>
      </c>
      <c r="B80" s="5"/>
      <c r="C80" s="6"/>
      <c r="D80" s="5"/>
      <c r="E80" s="5" t="s">
        <v>318</v>
      </c>
      <c r="F80" s="5" t="str">
        <f>IFERROR(__xludf.DUMMYFUNCTION("REGEXEXTRACT(E80, ""^[^0-9]+"")"),"sup_ru")</f>
        <v>sup_ru</v>
      </c>
      <c r="G80" s="9" t="s">
        <v>319</v>
      </c>
      <c r="H80" s="12" t="s">
        <v>320</v>
      </c>
      <c r="I80" s="9" t="s">
        <v>320</v>
      </c>
      <c r="J80" s="5" t="s">
        <v>19</v>
      </c>
      <c r="K80" s="10" t="s">
        <v>321</v>
      </c>
      <c r="L80" s="9" t="s">
        <v>320</v>
      </c>
      <c r="M80" s="7" t="s">
        <v>303</v>
      </c>
      <c r="N80" s="8" t="s">
        <v>304</v>
      </c>
      <c r="O80" s="7"/>
      <c r="P80" s="7"/>
      <c r="Q80" s="5" t="s">
        <v>19</v>
      </c>
    </row>
    <row r="81" ht="15.75" customHeight="1">
      <c r="A81" s="5" t="s">
        <v>322</v>
      </c>
      <c r="B81" s="5"/>
      <c r="C81" s="6"/>
      <c r="D81" s="11"/>
      <c r="E81" s="9" t="s">
        <v>323</v>
      </c>
      <c r="F81" s="5" t="str">
        <f>IFERROR(__xludf.DUMMYFUNCTION("REGEXEXTRACT(E81, ""^[^0-9]+"")"),"sup_ru")</f>
        <v>sup_ru</v>
      </c>
      <c r="G81" s="5" t="s">
        <v>19</v>
      </c>
      <c r="H81" s="5" t="s">
        <v>19</v>
      </c>
      <c r="I81" s="5" t="s">
        <v>19</v>
      </c>
      <c r="J81" s="5" t="s">
        <v>19</v>
      </c>
      <c r="K81" s="5" t="s">
        <v>19</v>
      </c>
      <c r="L81" s="5" t="s">
        <v>19</v>
      </c>
      <c r="M81" s="7" t="s">
        <v>303</v>
      </c>
      <c r="N81" s="7"/>
      <c r="O81" s="7"/>
      <c r="P81" s="7"/>
      <c r="Q81" s="5" t="s">
        <v>19</v>
      </c>
    </row>
    <row r="82" ht="15.75" customHeight="1">
      <c r="A82" s="5" t="s">
        <v>324</v>
      </c>
      <c r="B82" s="5"/>
      <c r="C82" s="6"/>
      <c r="D82" s="5"/>
      <c r="E82" s="5" t="s">
        <v>325</v>
      </c>
      <c r="F82" s="5" t="str">
        <f>IFERROR(__xludf.DUMMYFUNCTION("REGEXEXTRACT(E82, ""^[^0-9]+"")"),"sup_ru")</f>
        <v>sup_ru</v>
      </c>
      <c r="G82" s="9" t="s">
        <v>326</v>
      </c>
      <c r="H82" s="12" t="s">
        <v>327</v>
      </c>
      <c r="I82" s="9" t="s">
        <v>327</v>
      </c>
      <c r="J82" s="5" t="s">
        <v>19</v>
      </c>
      <c r="K82" s="10" t="s">
        <v>328</v>
      </c>
      <c r="L82" s="9" t="s">
        <v>327</v>
      </c>
      <c r="M82" s="7" t="s">
        <v>303</v>
      </c>
      <c r="N82" s="8" t="s">
        <v>304</v>
      </c>
      <c r="O82" s="7"/>
      <c r="P82" s="7"/>
      <c r="Q82" s="5" t="s">
        <v>19</v>
      </c>
    </row>
    <row r="83" ht="15.75" customHeight="1">
      <c r="A83" s="5" t="s">
        <v>329</v>
      </c>
      <c r="B83" s="5"/>
      <c r="C83" s="6"/>
      <c r="D83" s="5"/>
      <c r="E83" s="5" t="s">
        <v>330</v>
      </c>
      <c r="F83" s="5" t="str">
        <f>IFERROR(__xludf.DUMMYFUNCTION("REGEXEXTRACT(E83, ""^[^0-9]+"")"),"sup_ru")</f>
        <v>sup_ru</v>
      </c>
      <c r="G83" s="5" t="s">
        <v>331</v>
      </c>
      <c r="H83" s="12" t="s">
        <v>332</v>
      </c>
      <c r="I83" s="5" t="s">
        <v>332</v>
      </c>
      <c r="J83" s="5" t="s">
        <v>19</v>
      </c>
      <c r="K83" s="10" t="s">
        <v>333</v>
      </c>
      <c r="L83" s="5" t="s">
        <v>332</v>
      </c>
      <c r="M83" s="7" t="s">
        <v>303</v>
      </c>
      <c r="N83" s="8" t="s">
        <v>304</v>
      </c>
      <c r="O83" s="7"/>
      <c r="P83" s="7"/>
      <c r="Q83" s="5" t="s">
        <v>19</v>
      </c>
    </row>
    <row r="84" ht="15.75" customHeight="1">
      <c r="A84" s="5" t="s">
        <v>334</v>
      </c>
      <c r="B84" s="5"/>
      <c r="C84" s="6"/>
      <c r="D84" s="11"/>
      <c r="E84" s="9" t="s">
        <v>335</v>
      </c>
      <c r="F84" s="5" t="str">
        <f>IFERROR(__xludf.DUMMYFUNCTION("REGEXEXTRACT(E84, ""^[^0-9]+"")"),"sup_ru")</f>
        <v>sup_ru</v>
      </c>
      <c r="G84" s="9" t="s">
        <v>336</v>
      </c>
      <c r="H84" s="12" t="s">
        <v>337</v>
      </c>
      <c r="I84" s="9" t="s">
        <v>337</v>
      </c>
      <c r="J84" s="5" t="s">
        <v>19</v>
      </c>
      <c r="K84" s="10" t="s">
        <v>338</v>
      </c>
      <c r="L84" s="9" t="s">
        <v>337</v>
      </c>
      <c r="M84" s="7" t="s">
        <v>303</v>
      </c>
      <c r="N84" s="7"/>
      <c r="O84" s="7"/>
      <c r="P84" s="7"/>
      <c r="Q84" s="5" t="s">
        <v>19</v>
      </c>
    </row>
    <row r="85" ht="15.75" customHeight="1">
      <c r="A85" s="5" t="s">
        <v>339</v>
      </c>
      <c r="B85" s="5"/>
      <c r="C85" s="6"/>
      <c r="D85" s="5"/>
      <c r="E85" s="5" t="s">
        <v>340</v>
      </c>
      <c r="F85" s="5" t="str">
        <f>IFERROR(__xludf.DUMMYFUNCTION("REGEXEXTRACT(E85, ""^[^0-9]+"")"),"sup_ru")</f>
        <v>sup_ru</v>
      </c>
      <c r="G85" s="5" t="s">
        <v>341</v>
      </c>
      <c r="H85" s="12" t="s">
        <v>342</v>
      </c>
      <c r="I85" s="5" t="s">
        <v>342</v>
      </c>
      <c r="J85" s="5" t="s">
        <v>19</v>
      </c>
      <c r="K85" s="10" t="s">
        <v>343</v>
      </c>
      <c r="L85" s="5" t="s">
        <v>342</v>
      </c>
      <c r="M85" s="7" t="s">
        <v>303</v>
      </c>
      <c r="N85" s="8" t="s">
        <v>304</v>
      </c>
      <c r="O85" s="7"/>
      <c r="P85" s="7"/>
      <c r="Q85" s="5" t="s">
        <v>19</v>
      </c>
    </row>
    <row r="86" ht="15.75" customHeight="1">
      <c r="A86" s="5" t="s">
        <v>344</v>
      </c>
      <c r="B86" s="5"/>
      <c r="C86" s="6"/>
      <c r="D86" s="5"/>
      <c r="E86" s="5" t="s">
        <v>345</v>
      </c>
      <c r="F86" s="5" t="str">
        <f>IFERROR(__xludf.DUMMYFUNCTION("REGEXEXTRACT(E86, ""^[^0-9]+"")"),"sup_ru")</f>
        <v>sup_ru</v>
      </c>
      <c r="G86" s="5" t="s">
        <v>346</v>
      </c>
      <c r="H86" s="12" t="s">
        <v>347</v>
      </c>
      <c r="I86" s="5" t="s">
        <v>347</v>
      </c>
      <c r="J86" s="5" t="s">
        <v>19</v>
      </c>
      <c r="K86" s="10" t="s">
        <v>348</v>
      </c>
      <c r="L86" s="5" t="s">
        <v>347</v>
      </c>
      <c r="M86" s="7" t="s">
        <v>303</v>
      </c>
      <c r="N86" s="8" t="s">
        <v>304</v>
      </c>
      <c r="O86" s="7"/>
      <c r="P86" s="7"/>
      <c r="Q86" s="5" t="s">
        <v>19</v>
      </c>
    </row>
    <row r="87" ht="15.75" customHeight="1">
      <c r="A87" s="5" t="s">
        <v>349</v>
      </c>
      <c r="B87" s="5"/>
      <c r="C87" s="6"/>
      <c r="D87" s="5"/>
      <c r="E87" s="5" t="s">
        <v>350</v>
      </c>
      <c r="F87" s="5" t="str">
        <f>IFERROR(__xludf.DUMMYFUNCTION("REGEXEXTRACT(E87, ""^[^0-9]+"")"),"sup_ru")</f>
        <v>sup_ru</v>
      </c>
      <c r="G87" s="9" t="s">
        <v>351</v>
      </c>
      <c r="H87" s="12" t="s">
        <v>352</v>
      </c>
      <c r="I87" s="9" t="s">
        <v>352</v>
      </c>
      <c r="J87" s="5" t="s">
        <v>19</v>
      </c>
      <c r="K87" s="10" t="s">
        <v>353</v>
      </c>
      <c r="L87" s="9" t="s">
        <v>352</v>
      </c>
      <c r="M87" s="7" t="s">
        <v>303</v>
      </c>
      <c r="N87" s="8" t="s">
        <v>304</v>
      </c>
      <c r="O87" s="7"/>
      <c r="P87" s="7"/>
      <c r="Q87" s="5" t="s">
        <v>19</v>
      </c>
    </row>
    <row r="88" ht="15.75" customHeight="1">
      <c r="A88" s="5" t="s">
        <v>354</v>
      </c>
      <c r="B88" s="5"/>
      <c r="C88" s="6"/>
      <c r="D88" s="5"/>
      <c r="E88" s="5" t="s">
        <v>355</v>
      </c>
      <c r="F88" s="5" t="str">
        <f>IFERROR(__xludf.DUMMYFUNCTION("REGEXEXTRACT(E88, ""^[^0-9]+"")"),"sup_ru")</f>
        <v>sup_ru</v>
      </c>
      <c r="G88" s="5" t="s">
        <v>19</v>
      </c>
      <c r="H88" s="5" t="s">
        <v>19</v>
      </c>
      <c r="I88" s="5" t="s">
        <v>19</v>
      </c>
      <c r="J88" s="5" t="s">
        <v>19</v>
      </c>
      <c r="K88" s="5" t="s">
        <v>19</v>
      </c>
      <c r="L88" s="5" t="s">
        <v>19</v>
      </c>
      <c r="M88" s="7" t="s">
        <v>303</v>
      </c>
      <c r="N88" s="8" t="s">
        <v>304</v>
      </c>
      <c r="O88" s="7"/>
      <c r="P88" s="7"/>
      <c r="Q88" s="5" t="s">
        <v>19</v>
      </c>
    </row>
    <row r="89" ht="15.75" customHeight="1">
      <c r="A89" s="5" t="s">
        <v>356</v>
      </c>
      <c r="B89" s="5"/>
      <c r="C89" s="6"/>
      <c r="D89" s="5"/>
      <c r="E89" s="5" t="s">
        <v>357</v>
      </c>
      <c r="F89" s="5" t="str">
        <f>IFERROR(__xludf.DUMMYFUNCTION("REGEXEXTRACT(E89, ""^[^0-9]+"")"),"sup_ru")</f>
        <v>sup_ru</v>
      </c>
      <c r="G89" s="9" t="s">
        <v>358</v>
      </c>
      <c r="H89" s="12" t="s">
        <v>359</v>
      </c>
      <c r="I89" s="9" t="s">
        <v>359</v>
      </c>
      <c r="J89" s="5" t="s">
        <v>19</v>
      </c>
      <c r="K89" s="10" t="s">
        <v>360</v>
      </c>
      <c r="L89" s="9" t="s">
        <v>359</v>
      </c>
      <c r="M89" s="7" t="s">
        <v>303</v>
      </c>
      <c r="N89" s="8" t="s">
        <v>304</v>
      </c>
      <c r="O89" s="7"/>
      <c r="P89" s="7"/>
      <c r="Q89" s="5" t="s">
        <v>19</v>
      </c>
    </row>
    <row r="90" ht="15.75" customHeight="1">
      <c r="A90" s="5" t="s">
        <v>361</v>
      </c>
      <c r="B90" s="5"/>
      <c r="C90" s="6"/>
      <c r="D90" s="5"/>
      <c r="E90" s="5" t="s">
        <v>19</v>
      </c>
      <c r="F90" s="5" t="str">
        <f>IFERROR(__xludf.DUMMYFUNCTION("REGEXEXTRACT(E90, ""^[^0-9]+"")"),"NA")</f>
        <v>NA</v>
      </c>
      <c r="G90" s="9" t="s">
        <v>362</v>
      </c>
      <c r="H90" s="12" t="s">
        <v>363</v>
      </c>
      <c r="I90" s="9" t="s">
        <v>363</v>
      </c>
      <c r="J90" s="5" t="s">
        <v>19</v>
      </c>
      <c r="K90" s="10" t="s">
        <v>364</v>
      </c>
      <c r="L90" s="9" t="s">
        <v>363</v>
      </c>
      <c r="M90" s="7" t="s">
        <v>303</v>
      </c>
      <c r="N90" s="7"/>
      <c r="O90" s="7"/>
      <c r="P90" s="7"/>
      <c r="Q90" s="5" t="s">
        <v>19</v>
      </c>
    </row>
    <row r="91" ht="15.75" customHeight="1">
      <c r="A91" s="5" t="s">
        <v>365</v>
      </c>
      <c r="B91" s="5"/>
      <c r="C91" s="6"/>
      <c r="D91" s="5"/>
      <c r="E91" s="5" t="s">
        <v>366</v>
      </c>
      <c r="F91" s="5" t="str">
        <f>IFERROR(__xludf.DUMMYFUNCTION("REGEXEXTRACT(E91, ""^[^0-9]+"")"),"sup_ru")</f>
        <v>sup_ru</v>
      </c>
      <c r="G91" s="5" t="s">
        <v>19</v>
      </c>
      <c r="H91" s="5" t="s">
        <v>19</v>
      </c>
      <c r="I91" s="5" t="s">
        <v>19</v>
      </c>
      <c r="J91" s="5" t="s">
        <v>19</v>
      </c>
      <c r="K91" s="5" t="s">
        <v>19</v>
      </c>
      <c r="L91" s="5" t="s">
        <v>19</v>
      </c>
      <c r="M91" s="7" t="s">
        <v>303</v>
      </c>
      <c r="N91" s="8" t="s">
        <v>304</v>
      </c>
      <c r="O91" s="7"/>
      <c r="P91" s="7"/>
      <c r="Q91" s="5" t="s">
        <v>19</v>
      </c>
    </row>
    <row r="92" ht="15.75" customHeight="1">
      <c r="A92" s="5" t="s">
        <v>367</v>
      </c>
      <c r="B92" s="5"/>
      <c r="C92" s="6"/>
      <c r="D92" s="5"/>
      <c r="E92" s="5" t="s">
        <v>368</v>
      </c>
      <c r="F92" s="5" t="str">
        <f>IFERROR(__xludf.DUMMYFUNCTION("REGEXEXTRACT(E92, ""^[^0-9]+"")"),"sup_ru")</f>
        <v>sup_ru</v>
      </c>
      <c r="G92" s="5" t="s">
        <v>19</v>
      </c>
      <c r="H92" s="5" t="s">
        <v>19</v>
      </c>
      <c r="I92" s="5" t="s">
        <v>19</v>
      </c>
      <c r="J92" s="5" t="s">
        <v>19</v>
      </c>
      <c r="K92" s="5" t="s">
        <v>19</v>
      </c>
      <c r="L92" s="5" t="s">
        <v>19</v>
      </c>
      <c r="M92" s="7" t="s">
        <v>303</v>
      </c>
      <c r="N92" s="8" t="s">
        <v>304</v>
      </c>
      <c r="O92" s="7"/>
      <c r="P92" s="7"/>
      <c r="Q92" s="5" t="s">
        <v>19</v>
      </c>
    </row>
    <row r="93" ht="15.75" customHeight="1">
      <c r="A93" s="5" t="s">
        <v>369</v>
      </c>
      <c r="B93" s="5"/>
      <c r="C93" s="6"/>
      <c r="D93" s="5"/>
      <c r="E93" s="5" t="s">
        <v>370</v>
      </c>
      <c r="F93" s="5" t="str">
        <f>IFERROR(__xludf.DUMMYFUNCTION("REGEXEXTRACT(E93, ""^[^0-9]+"")"),"sup_kin")</f>
        <v>sup_kin</v>
      </c>
      <c r="G93" s="9" t="s">
        <v>371</v>
      </c>
      <c r="H93" s="12" t="s">
        <v>372</v>
      </c>
      <c r="I93" s="9" t="s">
        <v>372</v>
      </c>
      <c r="J93" s="5" t="s">
        <v>19</v>
      </c>
      <c r="K93" s="10" t="s">
        <v>373</v>
      </c>
      <c r="L93" s="9" t="s">
        <v>372</v>
      </c>
      <c r="M93" s="5" t="s">
        <v>374</v>
      </c>
      <c r="N93" s="17" t="s">
        <v>375</v>
      </c>
      <c r="O93" s="11"/>
      <c r="P93" s="7"/>
      <c r="Q93" s="5" t="s">
        <v>19</v>
      </c>
    </row>
    <row r="94" ht="15.75" customHeight="1">
      <c r="A94" s="5" t="s">
        <v>376</v>
      </c>
      <c r="B94" s="5" t="s">
        <v>377</v>
      </c>
      <c r="C94" s="6"/>
      <c r="D94" s="5"/>
      <c r="E94" s="5" t="s">
        <v>378</v>
      </c>
      <c r="F94" s="5" t="str">
        <f>IFERROR(__xludf.DUMMYFUNCTION("REGEXEXTRACT(E94, ""^[^0-9]+"")"),"sup_kin")</f>
        <v>sup_kin</v>
      </c>
      <c r="G94" s="9" t="s">
        <v>379</v>
      </c>
      <c r="H94" s="12" t="s">
        <v>380</v>
      </c>
      <c r="I94" s="9" t="s">
        <v>380</v>
      </c>
      <c r="J94" s="5" t="s">
        <v>19</v>
      </c>
      <c r="K94" s="10" t="s">
        <v>381</v>
      </c>
      <c r="L94" s="9" t="s">
        <v>380</v>
      </c>
      <c r="M94" s="5" t="s">
        <v>374</v>
      </c>
      <c r="N94" s="11"/>
      <c r="O94" s="17" t="s">
        <v>311</v>
      </c>
      <c r="P94" s="7"/>
      <c r="Q94" s="5" t="s">
        <v>19</v>
      </c>
    </row>
    <row r="95" ht="15.75" customHeight="1">
      <c r="A95" s="5" t="s">
        <v>382</v>
      </c>
      <c r="B95" s="5"/>
      <c r="C95" s="6"/>
      <c r="D95" s="5"/>
      <c r="E95" s="5" t="s">
        <v>383</v>
      </c>
      <c r="F95" s="5" t="str">
        <f>IFERROR(__xludf.DUMMYFUNCTION("REGEXEXTRACT(E95, ""^[^0-9]+"")"),"sup_kin")</f>
        <v>sup_kin</v>
      </c>
      <c r="G95" s="9" t="s">
        <v>384</v>
      </c>
      <c r="H95" s="12" t="s">
        <v>385</v>
      </c>
      <c r="I95" s="9" t="s">
        <v>385</v>
      </c>
      <c r="J95" s="5" t="s">
        <v>19</v>
      </c>
      <c r="K95" s="10" t="s">
        <v>386</v>
      </c>
      <c r="L95" s="9" t="s">
        <v>385</v>
      </c>
      <c r="M95" s="5" t="s">
        <v>374</v>
      </c>
      <c r="N95" s="17" t="s">
        <v>375</v>
      </c>
      <c r="O95" s="11"/>
      <c r="P95" s="7"/>
      <c r="Q95" s="5" t="s">
        <v>19</v>
      </c>
    </row>
    <row r="96" ht="15.75" customHeight="1">
      <c r="A96" s="5" t="s">
        <v>387</v>
      </c>
      <c r="B96" s="5"/>
      <c r="C96" s="6"/>
      <c r="D96" s="5"/>
      <c r="E96" s="5" t="s">
        <v>388</v>
      </c>
      <c r="F96" s="5" t="str">
        <f>IFERROR(__xludf.DUMMYFUNCTION("REGEXEXTRACT(E96, ""^[^0-9]+"")"),"sup_kin")</f>
        <v>sup_kin</v>
      </c>
      <c r="G96" s="9" t="s">
        <v>389</v>
      </c>
      <c r="H96" s="12" t="s">
        <v>390</v>
      </c>
      <c r="I96" s="9" t="s">
        <v>390</v>
      </c>
      <c r="J96" s="5" t="s">
        <v>19</v>
      </c>
      <c r="K96" s="10" t="s">
        <v>391</v>
      </c>
      <c r="L96" s="9" t="s">
        <v>390</v>
      </c>
      <c r="M96" s="5" t="s">
        <v>374</v>
      </c>
      <c r="N96" s="17" t="s">
        <v>375</v>
      </c>
      <c r="O96" s="11"/>
      <c r="P96" s="7"/>
      <c r="Q96" s="5" t="s">
        <v>19</v>
      </c>
    </row>
    <row r="97" ht="15.75" customHeight="1">
      <c r="A97" s="5" t="s">
        <v>392</v>
      </c>
      <c r="B97" s="5"/>
      <c r="C97" s="6"/>
      <c r="D97" s="5"/>
      <c r="E97" s="5" t="s">
        <v>393</v>
      </c>
      <c r="F97" s="5" t="str">
        <f>IFERROR(__xludf.DUMMYFUNCTION("REGEXEXTRACT(E97, ""^[^0-9]+"")"),"sup_kin")</f>
        <v>sup_kin</v>
      </c>
      <c r="G97" s="9" t="s">
        <v>394</v>
      </c>
      <c r="H97" s="12" t="s">
        <v>395</v>
      </c>
      <c r="I97" s="9" t="s">
        <v>395</v>
      </c>
      <c r="J97" s="5" t="s">
        <v>19</v>
      </c>
      <c r="K97" s="10" t="s">
        <v>396</v>
      </c>
      <c r="L97" s="9" t="s">
        <v>395</v>
      </c>
      <c r="M97" s="5" t="s">
        <v>374</v>
      </c>
      <c r="N97" s="17" t="s">
        <v>375</v>
      </c>
      <c r="O97" s="11"/>
      <c r="P97" s="7"/>
      <c r="Q97" s="5" t="s">
        <v>19</v>
      </c>
    </row>
    <row r="98" ht="15.75" customHeight="1">
      <c r="A98" s="5" t="s">
        <v>397</v>
      </c>
      <c r="B98" s="5"/>
      <c r="C98" s="6"/>
      <c r="D98" s="5"/>
      <c r="E98" s="5" t="s">
        <v>398</v>
      </c>
      <c r="F98" s="5" t="str">
        <f>IFERROR(__xludf.DUMMYFUNCTION("REGEXEXTRACT(E98, ""^[^0-9]+"")"),"sup_kin")</f>
        <v>sup_kin</v>
      </c>
      <c r="G98" s="5" t="s">
        <v>19</v>
      </c>
      <c r="H98" s="5" t="s">
        <v>19</v>
      </c>
      <c r="I98" s="5" t="s">
        <v>19</v>
      </c>
      <c r="J98" s="5" t="s">
        <v>19</v>
      </c>
      <c r="K98" s="5" t="s">
        <v>19</v>
      </c>
      <c r="L98" s="5" t="s">
        <v>19</v>
      </c>
      <c r="M98" s="5" t="s">
        <v>374</v>
      </c>
      <c r="N98" s="17" t="s">
        <v>375</v>
      </c>
      <c r="O98" s="11"/>
      <c r="P98" s="7"/>
      <c r="Q98" s="5" t="s">
        <v>19</v>
      </c>
    </row>
    <row r="99" ht="15.75" customHeight="1">
      <c r="A99" s="5" t="s">
        <v>399</v>
      </c>
      <c r="B99" s="5"/>
      <c r="C99" s="6"/>
      <c r="D99" s="5"/>
      <c r="E99" s="5" t="s">
        <v>400</v>
      </c>
      <c r="F99" s="5" t="str">
        <f>IFERROR(__xludf.DUMMYFUNCTION("REGEXEXTRACT(E99, ""^[^0-9]+"")"),"sup_kin")</f>
        <v>sup_kin</v>
      </c>
      <c r="G99" s="9" t="s">
        <v>401</v>
      </c>
      <c r="H99" s="12" t="s">
        <v>402</v>
      </c>
      <c r="I99" s="9" t="s">
        <v>402</v>
      </c>
      <c r="J99" s="5" t="s">
        <v>19</v>
      </c>
      <c r="K99" s="10" t="s">
        <v>403</v>
      </c>
      <c r="L99" s="9" t="s">
        <v>402</v>
      </c>
      <c r="M99" s="5" t="s">
        <v>374</v>
      </c>
      <c r="N99" s="17" t="s">
        <v>375</v>
      </c>
      <c r="O99" s="11"/>
      <c r="P99" s="7"/>
      <c r="Q99" s="5" t="s">
        <v>19</v>
      </c>
    </row>
    <row r="100" ht="15.75" customHeight="1">
      <c r="A100" s="5" t="s">
        <v>404</v>
      </c>
      <c r="B100" s="5"/>
      <c r="C100" s="6"/>
      <c r="D100" s="5"/>
      <c r="E100" s="5" t="s">
        <v>405</v>
      </c>
      <c r="F100" s="5" t="str">
        <f>IFERROR(__xludf.DUMMYFUNCTION("REGEXEXTRACT(E100, ""^[^0-9]+"")"),"sup_kin")</f>
        <v>sup_kin</v>
      </c>
      <c r="G100" s="9" t="s">
        <v>406</v>
      </c>
      <c r="H100" s="12" t="s">
        <v>407</v>
      </c>
      <c r="I100" s="9" t="s">
        <v>407</v>
      </c>
      <c r="J100" s="5" t="s">
        <v>19</v>
      </c>
      <c r="K100" s="10" t="s">
        <v>408</v>
      </c>
      <c r="L100" s="9" t="s">
        <v>407</v>
      </c>
      <c r="M100" s="5" t="s">
        <v>374</v>
      </c>
      <c r="N100" s="17" t="s">
        <v>375</v>
      </c>
      <c r="O100" s="11"/>
      <c r="P100" s="7"/>
      <c r="Q100" s="5" t="s">
        <v>19</v>
      </c>
    </row>
    <row r="101" ht="15.75" customHeight="1">
      <c r="A101" s="5" t="s">
        <v>409</v>
      </c>
      <c r="B101" s="5"/>
      <c r="C101" s="6"/>
      <c r="D101" s="5"/>
      <c r="E101" s="5" t="s">
        <v>410</v>
      </c>
      <c r="F101" s="5" t="str">
        <f>IFERROR(__xludf.DUMMYFUNCTION("REGEXEXTRACT(E101, ""^[^0-9]+"")"),"sup_kin")</f>
        <v>sup_kin</v>
      </c>
      <c r="G101" s="9" t="s">
        <v>411</v>
      </c>
      <c r="H101" s="12" t="s">
        <v>412</v>
      </c>
      <c r="I101" s="9" t="s">
        <v>412</v>
      </c>
      <c r="J101" s="5" t="s">
        <v>19</v>
      </c>
      <c r="K101" s="10" t="s">
        <v>413</v>
      </c>
      <c r="L101" s="9" t="s">
        <v>412</v>
      </c>
      <c r="M101" s="5" t="s">
        <v>374</v>
      </c>
      <c r="N101" s="17" t="s">
        <v>375</v>
      </c>
      <c r="O101" s="11"/>
      <c r="P101" s="7"/>
      <c r="Q101" s="5" t="s">
        <v>19</v>
      </c>
    </row>
    <row r="102" ht="15.75" customHeight="1">
      <c r="A102" s="5" t="s">
        <v>414</v>
      </c>
      <c r="B102" s="5"/>
      <c r="C102" s="6"/>
      <c r="D102" s="5"/>
      <c r="E102" s="5" t="s">
        <v>415</v>
      </c>
      <c r="F102" s="5" t="str">
        <f>IFERROR(__xludf.DUMMYFUNCTION("REGEXEXTRACT(E102, ""^[^0-9]+"")"),"sup_kin")</f>
        <v>sup_kin</v>
      </c>
      <c r="G102" s="9" t="s">
        <v>416</v>
      </c>
      <c r="H102" s="12" t="s">
        <v>417</v>
      </c>
      <c r="I102" s="9" t="s">
        <v>417</v>
      </c>
      <c r="J102" s="5" t="s">
        <v>19</v>
      </c>
      <c r="K102" s="10" t="s">
        <v>418</v>
      </c>
      <c r="L102" s="9" t="s">
        <v>417</v>
      </c>
      <c r="M102" s="5" t="s">
        <v>374</v>
      </c>
      <c r="N102" s="17" t="s">
        <v>375</v>
      </c>
      <c r="O102" s="11"/>
      <c r="P102" s="7"/>
      <c r="Q102" s="5" t="s">
        <v>19</v>
      </c>
    </row>
    <row r="103" ht="15.75" customHeight="1">
      <c r="A103" s="5" t="s">
        <v>419</v>
      </c>
      <c r="B103" s="5"/>
      <c r="C103" s="6"/>
      <c r="D103" s="5"/>
      <c r="E103" s="5" t="s">
        <v>420</v>
      </c>
      <c r="F103" s="5" t="str">
        <f>IFERROR(__xludf.DUMMYFUNCTION("REGEXEXTRACT(E103, ""^[^0-9]+"")"),"sup_kin")</f>
        <v>sup_kin</v>
      </c>
      <c r="G103" s="9" t="s">
        <v>421</v>
      </c>
      <c r="H103" s="12" t="s">
        <v>422</v>
      </c>
      <c r="I103" s="9" t="s">
        <v>422</v>
      </c>
      <c r="J103" s="5" t="s">
        <v>19</v>
      </c>
      <c r="K103" s="10" t="s">
        <v>423</v>
      </c>
      <c r="L103" s="9" t="s">
        <v>422</v>
      </c>
      <c r="M103" s="5" t="s">
        <v>374</v>
      </c>
      <c r="N103" s="17" t="s">
        <v>375</v>
      </c>
      <c r="O103" s="11"/>
      <c r="P103" s="7"/>
      <c r="Q103" s="5" t="s">
        <v>19</v>
      </c>
    </row>
    <row r="104" ht="15.75" customHeight="1">
      <c r="A104" s="5" t="s">
        <v>424</v>
      </c>
      <c r="B104" s="5"/>
      <c r="C104" s="6"/>
      <c r="D104" s="5"/>
      <c r="E104" s="5" t="s">
        <v>19</v>
      </c>
      <c r="F104" s="5" t="str">
        <f>IFERROR(__xludf.DUMMYFUNCTION("REGEXEXTRACT(E104, ""^[^0-9]+"")"),"NA")</f>
        <v>NA</v>
      </c>
      <c r="G104" s="9" t="s">
        <v>425</v>
      </c>
      <c r="H104" s="12" t="s">
        <v>426</v>
      </c>
      <c r="I104" s="9" t="s">
        <v>426</v>
      </c>
      <c r="J104" s="5" t="s">
        <v>19</v>
      </c>
      <c r="K104" s="10" t="s">
        <v>427</v>
      </c>
      <c r="L104" s="9" t="s">
        <v>426</v>
      </c>
      <c r="M104" s="5" t="s">
        <v>374</v>
      </c>
      <c r="N104" s="11"/>
      <c r="O104" s="11"/>
      <c r="P104" s="7"/>
      <c r="Q104" s="5" t="s">
        <v>19</v>
      </c>
    </row>
    <row r="105" ht="15.75" customHeight="1">
      <c r="A105" s="5" t="s">
        <v>428</v>
      </c>
      <c r="B105" s="5"/>
      <c r="C105" s="6"/>
      <c r="D105" s="5"/>
      <c r="E105" s="5" t="s">
        <v>19</v>
      </c>
      <c r="F105" s="5" t="str">
        <f>IFERROR(__xludf.DUMMYFUNCTION("REGEXEXTRACT(E105, ""^[^0-9]+"")"),"NA")</f>
        <v>NA</v>
      </c>
      <c r="G105" s="9" t="s">
        <v>429</v>
      </c>
      <c r="H105" s="12" t="s">
        <v>430</v>
      </c>
      <c r="I105" s="9" t="s">
        <v>430</v>
      </c>
      <c r="J105" s="5" t="s">
        <v>430</v>
      </c>
      <c r="K105" s="10" t="s">
        <v>431</v>
      </c>
      <c r="L105" s="9" t="s">
        <v>430</v>
      </c>
      <c r="M105" s="5" t="s">
        <v>432</v>
      </c>
      <c r="N105" s="11"/>
      <c r="O105" s="11"/>
      <c r="P105" s="7"/>
      <c r="Q105" s="5" t="s">
        <v>430</v>
      </c>
    </row>
    <row r="106" ht="15.75" customHeight="1">
      <c r="A106" s="5" t="s">
        <v>433</v>
      </c>
      <c r="B106" s="5" t="s">
        <v>434</v>
      </c>
      <c r="C106" s="6"/>
      <c r="D106" s="5" t="s">
        <v>434</v>
      </c>
      <c r="E106" s="5" t="s">
        <v>19</v>
      </c>
      <c r="F106" s="5" t="str">
        <f>IFERROR(__xludf.DUMMYFUNCTION("REGEXEXTRACT(E106, ""^[^0-9]+"")"),"NA")</f>
        <v>NA</v>
      </c>
      <c r="G106" s="5" t="s">
        <v>435</v>
      </c>
      <c r="H106" s="12" t="s">
        <v>436</v>
      </c>
      <c r="I106" s="5" t="s">
        <v>436</v>
      </c>
      <c r="J106" s="5" t="s">
        <v>436</v>
      </c>
      <c r="K106" s="10" t="s">
        <v>437</v>
      </c>
      <c r="L106" s="5" t="s">
        <v>436</v>
      </c>
      <c r="M106" s="5" t="s">
        <v>432</v>
      </c>
      <c r="N106" s="11"/>
      <c r="O106" s="11"/>
      <c r="P106" s="7"/>
      <c r="Q106" s="5" t="s">
        <v>436</v>
      </c>
    </row>
    <row r="107" ht="15.75" customHeight="1">
      <c r="A107" s="5" t="s">
        <v>438</v>
      </c>
      <c r="B107" s="5"/>
      <c r="C107" s="6"/>
      <c r="D107" s="5"/>
      <c r="E107" s="5" t="s">
        <v>19</v>
      </c>
      <c r="F107" s="5" t="str">
        <f>IFERROR(__xludf.DUMMYFUNCTION("REGEXEXTRACT(E107, ""^[^0-9]+"")"),"NA")</f>
        <v>NA</v>
      </c>
      <c r="G107" s="5" t="s">
        <v>439</v>
      </c>
      <c r="H107" s="12" t="s">
        <v>440</v>
      </c>
      <c r="I107" s="5" t="s">
        <v>440</v>
      </c>
      <c r="J107" s="5" t="s">
        <v>440</v>
      </c>
      <c r="K107" s="10" t="s">
        <v>441</v>
      </c>
      <c r="L107" s="5" t="s">
        <v>440</v>
      </c>
      <c r="M107" s="5" t="s">
        <v>432</v>
      </c>
      <c r="N107" s="11"/>
      <c r="O107" s="11"/>
      <c r="P107" s="7"/>
      <c r="Q107" s="5" t="s">
        <v>440</v>
      </c>
    </row>
    <row r="108" ht="15.75" customHeight="1">
      <c r="A108" s="5" t="s">
        <v>442</v>
      </c>
      <c r="B108" s="5"/>
      <c r="C108" s="6"/>
      <c r="D108" s="5"/>
      <c r="E108" s="5" t="s">
        <v>19</v>
      </c>
      <c r="F108" s="5" t="str">
        <f>IFERROR(__xludf.DUMMYFUNCTION("REGEXEXTRACT(E108, ""^[^0-9]+"")"),"NA")</f>
        <v>NA</v>
      </c>
      <c r="G108" s="5" t="s">
        <v>443</v>
      </c>
      <c r="H108" s="12" t="s">
        <v>444</v>
      </c>
      <c r="I108" s="5" t="s">
        <v>444</v>
      </c>
      <c r="J108" s="5" t="s">
        <v>19</v>
      </c>
      <c r="K108" s="10" t="s">
        <v>445</v>
      </c>
      <c r="L108" s="5" t="s">
        <v>444</v>
      </c>
      <c r="M108" s="5" t="s">
        <v>432</v>
      </c>
      <c r="N108" s="11"/>
      <c r="O108" s="11"/>
      <c r="P108" s="7"/>
      <c r="Q108" s="5" t="s">
        <v>19</v>
      </c>
    </row>
    <row r="109" ht="15.75" customHeight="1">
      <c r="A109" s="5" t="s">
        <v>446</v>
      </c>
      <c r="B109" s="5"/>
      <c r="C109" s="6"/>
      <c r="D109" s="5"/>
      <c r="E109" s="5" t="s">
        <v>19</v>
      </c>
      <c r="F109" s="5" t="str">
        <f>IFERROR(__xludf.DUMMYFUNCTION("REGEXEXTRACT(E109, ""^[^0-9]+"")"),"NA")</f>
        <v>NA</v>
      </c>
      <c r="G109" s="9" t="s">
        <v>447</v>
      </c>
      <c r="H109" s="12" t="s">
        <v>448</v>
      </c>
      <c r="I109" s="9" t="s">
        <v>448</v>
      </c>
      <c r="J109" s="5" t="s">
        <v>448</v>
      </c>
      <c r="K109" s="10" t="s">
        <v>449</v>
      </c>
      <c r="L109" s="9" t="s">
        <v>448</v>
      </c>
      <c r="M109" s="5" t="s">
        <v>432</v>
      </c>
      <c r="N109" s="11"/>
      <c r="O109" s="11"/>
      <c r="P109" s="7"/>
      <c r="Q109" s="5" t="s">
        <v>448</v>
      </c>
    </row>
    <row r="110" ht="15.75" customHeight="1">
      <c r="A110" s="5" t="s">
        <v>450</v>
      </c>
      <c r="B110" s="5" t="s">
        <v>451</v>
      </c>
      <c r="C110" s="6"/>
      <c r="D110" s="5" t="s">
        <v>451</v>
      </c>
      <c r="E110" s="5" t="s">
        <v>19</v>
      </c>
      <c r="F110" s="5" t="str">
        <f>IFERROR(__xludf.DUMMYFUNCTION("REGEXEXTRACT(E110, ""^[^0-9]+"")"),"NA")</f>
        <v>NA</v>
      </c>
      <c r="G110" s="9" t="s">
        <v>452</v>
      </c>
      <c r="H110" s="12" t="s">
        <v>453</v>
      </c>
      <c r="I110" s="9" t="s">
        <v>453</v>
      </c>
      <c r="J110" s="5" t="s">
        <v>453</v>
      </c>
      <c r="K110" s="10" t="s">
        <v>454</v>
      </c>
      <c r="L110" s="9" t="s">
        <v>453</v>
      </c>
      <c r="M110" s="5" t="s">
        <v>432</v>
      </c>
      <c r="N110" s="11"/>
      <c r="O110" s="11"/>
      <c r="P110" s="7"/>
      <c r="Q110" s="5" t="s">
        <v>453</v>
      </c>
    </row>
    <row r="111" ht="15.75" customHeight="1">
      <c r="A111" s="5" t="s">
        <v>455</v>
      </c>
      <c r="B111" s="5"/>
      <c r="C111" s="6"/>
      <c r="D111" s="5"/>
      <c r="E111" s="5" t="s">
        <v>19</v>
      </c>
      <c r="F111" s="5" t="str">
        <f>IFERROR(__xludf.DUMMYFUNCTION("REGEXEXTRACT(E111, ""^[^0-9]+"")"),"NA")</f>
        <v>NA</v>
      </c>
      <c r="G111" s="9" t="s">
        <v>456</v>
      </c>
      <c r="H111" s="12" t="s">
        <v>457</v>
      </c>
      <c r="I111" s="9" t="s">
        <v>457</v>
      </c>
      <c r="J111" s="5" t="s">
        <v>457</v>
      </c>
      <c r="K111" s="10" t="s">
        <v>458</v>
      </c>
      <c r="L111" s="9" t="s">
        <v>457</v>
      </c>
      <c r="M111" s="5" t="s">
        <v>432</v>
      </c>
      <c r="N111" s="11"/>
      <c r="O111" s="11"/>
      <c r="P111" s="7"/>
      <c r="Q111" s="5" t="s">
        <v>457</v>
      </c>
    </row>
    <row r="112" ht="15.75" customHeight="1">
      <c r="A112" s="5" t="s">
        <v>459</v>
      </c>
      <c r="B112" s="5"/>
      <c r="C112" s="6"/>
      <c r="D112" s="5"/>
      <c r="E112" s="5" t="s">
        <v>19</v>
      </c>
      <c r="F112" s="5" t="str">
        <f>IFERROR(__xludf.DUMMYFUNCTION("REGEXEXTRACT(E112, ""^[^0-9]+"")"),"NA")</f>
        <v>NA</v>
      </c>
      <c r="G112" s="9" t="s">
        <v>460</v>
      </c>
      <c r="H112" s="12" t="s">
        <v>461</v>
      </c>
      <c r="I112" s="9" t="s">
        <v>461</v>
      </c>
      <c r="J112" s="5" t="s">
        <v>19</v>
      </c>
      <c r="K112" s="10" t="s">
        <v>462</v>
      </c>
      <c r="L112" s="9" t="s">
        <v>461</v>
      </c>
      <c r="M112" s="5" t="s">
        <v>432</v>
      </c>
      <c r="N112" s="11"/>
      <c r="O112" s="11"/>
      <c r="P112" s="7"/>
      <c r="Q112" s="5" t="s">
        <v>19</v>
      </c>
    </row>
    <row r="113" ht="15.75" customHeight="1">
      <c r="A113" s="5" t="s">
        <v>463</v>
      </c>
      <c r="B113" s="5"/>
      <c r="C113" s="6"/>
      <c r="D113" s="5"/>
      <c r="E113" s="5" t="s">
        <v>464</v>
      </c>
      <c r="F113" s="5" t="str">
        <f>IFERROR(__xludf.DUMMYFUNCTION("REGEXEXTRACT(E113, ""^[^0-9]+"")"),"prag_kin")</f>
        <v>prag_kin</v>
      </c>
      <c r="G113" s="9" t="s">
        <v>465</v>
      </c>
      <c r="H113" s="5" t="s">
        <v>19</v>
      </c>
      <c r="I113" s="9" t="s">
        <v>465</v>
      </c>
      <c r="J113" s="5" t="s">
        <v>19</v>
      </c>
      <c r="K113" s="10" t="s">
        <v>466</v>
      </c>
      <c r="L113" s="9" t="s">
        <v>465</v>
      </c>
      <c r="M113" s="7" t="s">
        <v>467</v>
      </c>
      <c r="N113" s="8" t="s">
        <v>468</v>
      </c>
      <c r="O113" s="7"/>
      <c r="P113" s="7"/>
      <c r="Q113" s="5" t="s">
        <v>19</v>
      </c>
    </row>
    <row r="114" ht="15.75" customHeight="1">
      <c r="A114" s="5" t="s">
        <v>469</v>
      </c>
      <c r="B114" s="5"/>
      <c r="C114" s="6"/>
      <c r="D114" s="5"/>
      <c r="E114" s="5" t="s">
        <v>470</v>
      </c>
      <c r="F114" s="5" t="str">
        <f>IFERROR(__xludf.DUMMYFUNCTION("REGEXEXTRACT(E114, ""^[^0-9]+"")"),"prag_kin")</f>
        <v>prag_kin</v>
      </c>
      <c r="G114" s="9" t="s">
        <v>471</v>
      </c>
      <c r="H114" s="5" t="s">
        <v>19</v>
      </c>
      <c r="I114" s="9" t="s">
        <v>471</v>
      </c>
      <c r="J114" s="5" t="s">
        <v>19</v>
      </c>
      <c r="K114" s="10" t="s">
        <v>472</v>
      </c>
      <c r="L114" s="9" t="s">
        <v>471</v>
      </c>
      <c r="M114" s="7" t="s">
        <v>467</v>
      </c>
      <c r="N114" s="8" t="s">
        <v>468</v>
      </c>
      <c r="O114" s="7"/>
      <c r="P114" s="7"/>
      <c r="Q114" s="5" t="s">
        <v>19</v>
      </c>
    </row>
    <row r="115" ht="15.75" customHeight="1">
      <c r="A115" s="5" t="s">
        <v>473</v>
      </c>
      <c r="B115" s="5"/>
      <c r="C115" s="6"/>
      <c r="D115" s="5"/>
      <c r="E115" s="5" t="s">
        <v>474</v>
      </c>
      <c r="F115" s="5" t="str">
        <f>IFERROR(__xludf.DUMMYFUNCTION("REGEXEXTRACT(E115, ""^[^0-9]+"")"),"prag_kin")</f>
        <v>prag_kin</v>
      </c>
      <c r="G115" s="9" t="s">
        <v>475</v>
      </c>
      <c r="H115" s="5" t="s">
        <v>19</v>
      </c>
      <c r="I115" s="9" t="s">
        <v>475</v>
      </c>
      <c r="J115" s="5" t="s">
        <v>19</v>
      </c>
      <c r="K115" s="10" t="s">
        <v>476</v>
      </c>
      <c r="L115" s="9" t="s">
        <v>475</v>
      </c>
      <c r="M115" s="7" t="s">
        <v>467</v>
      </c>
      <c r="N115" s="7"/>
      <c r="O115" s="8" t="s">
        <v>477</v>
      </c>
      <c r="P115" s="7"/>
      <c r="Q115" s="5" t="s">
        <v>19</v>
      </c>
    </row>
    <row r="116" ht="15.75" customHeight="1">
      <c r="A116" s="5" t="s">
        <v>478</v>
      </c>
      <c r="B116" s="5"/>
      <c r="C116" s="6"/>
      <c r="D116" s="5"/>
      <c r="E116" s="5" t="s">
        <v>479</v>
      </c>
      <c r="F116" s="5" t="str">
        <f>IFERROR(__xludf.DUMMYFUNCTION("REGEXEXTRACT(E116, ""^[^0-9]+"")"),"prag_kin")</f>
        <v>prag_kin</v>
      </c>
      <c r="G116" s="9" t="s">
        <v>480</v>
      </c>
      <c r="H116" s="5" t="s">
        <v>19</v>
      </c>
      <c r="I116" s="9" t="s">
        <v>480</v>
      </c>
      <c r="J116" s="5" t="s">
        <v>19</v>
      </c>
      <c r="K116" s="10" t="s">
        <v>481</v>
      </c>
      <c r="L116" s="9" t="s">
        <v>480</v>
      </c>
      <c r="M116" s="7" t="s">
        <v>467</v>
      </c>
      <c r="N116" s="8" t="s">
        <v>468</v>
      </c>
      <c r="O116" s="7"/>
      <c r="P116" s="7"/>
      <c r="Q116" s="5" t="s">
        <v>19</v>
      </c>
    </row>
    <row r="117" ht="15.75" customHeight="1">
      <c r="A117" s="5" t="s">
        <v>482</v>
      </c>
      <c r="B117" s="5"/>
      <c r="C117" s="6"/>
      <c r="D117" s="5"/>
      <c r="E117" s="5" t="s">
        <v>483</v>
      </c>
      <c r="F117" s="5" t="str">
        <f>IFERROR(__xludf.DUMMYFUNCTION("REGEXEXTRACT(E117, ""^[^0-9]+"")"),"prag_kin")</f>
        <v>prag_kin</v>
      </c>
      <c r="G117" s="9" t="s">
        <v>484</v>
      </c>
      <c r="H117" s="5" t="s">
        <v>19</v>
      </c>
      <c r="I117" s="9" t="s">
        <v>484</v>
      </c>
      <c r="J117" s="5" t="s">
        <v>19</v>
      </c>
      <c r="K117" s="10" t="s">
        <v>485</v>
      </c>
      <c r="L117" s="9" t="s">
        <v>484</v>
      </c>
      <c r="M117" s="7" t="s">
        <v>467</v>
      </c>
      <c r="N117" s="8" t="s">
        <v>468</v>
      </c>
      <c r="O117" s="7"/>
      <c r="P117" s="7"/>
      <c r="Q117" s="5" t="s">
        <v>19</v>
      </c>
    </row>
    <row r="118" ht="15.75" customHeight="1">
      <c r="A118" s="5" t="s">
        <v>486</v>
      </c>
      <c r="B118" s="5"/>
      <c r="C118" s="6"/>
      <c r="D118" s="5"/>
      <c r="E118" s="5" t="s">
        <v>487</v>
      </c>
      <c r="F118" s="5" t="str">
        <f>IFERROR(__xludf.DUMMYFUNCTION("REGEXEXTRACT(E118, ""^[^0-9]+"")"),"prag_kin")</f>
        <v>prag_kin</v>
      </c>
      <c r="G118" s="9" t="s">
        <v>488</v>
      </c>
      <c r="H118" s="5" t="s">
        <v>19</v>
      </c>
      <c r="I118" s="9" t="s">
        <v>488</v>
      </c>
      <c r="J118" s="5" t="s">
        <v>19</v>
      </c>
      <c r="K118" s="10" t="s">
        <v>489</v>
      </c>
      <c r="L118" s="9" t="s">
        <v>488</v>
      </c>
      <c r="M118" s="7" t="s">
        <v>467</v>
      </c>
      <c r="N118" s="8" t="s">
        <v>468</v>
      </c>
      <c r="O118" s="7"/>
      <c r="P118" s="7"/>
      <c r="Q118" s="5" t="s">
        <v>19</v>
      </c>
    </row>
    <row r="119" ht="15.75" customHeight="1">
      <c r="A119" s="5" t="s">
        <v>490</v>
      </c>
      <c r="B119" s="5"/>
      <c r="C119" s="6"/>
      <c r="D119" s="5"/>
      <c r="E119" s="5" t="s">
        <v>491</v>
      </c>
      <c r="F119" s="5" t="str">
        <f>IFERROR(__xludf.DUMMYFUNCTION("REGEXEXTRACT(E119, ""^[^0-9]+"")"),"prag_ru")</f>
        <v>prag_ru</v>
      </c>
      <c r="G119" s="5" t="s">
        <v>492</v>
      </c>
      <c r="H119" s="5" t="s">
        <v>19</v>
      </c>
      <c r="I119" s="5" t="s">
        <v>492</v>
      </c>
      <c r="J119" s="5" t="s">
        <v>19</v>
      </c>
      <c r="K119" s="10" t="s">
        <v>493</v>
      </c>
      <c r="L119" s="5" t="s">
        <v>492</v>
      </c>
      <c r="M119" s="7" t="s">
        <v>494</v>
      </c>
      <c r="N119" s="8" t="s">
        <v>495</v>
      </c>
      <c r="O119" s="7"/>
      <c r="P119" s="7"/>
      <c r="Q119" s="5" t="s">
        <v>19</v>
      </c>
    </row>
    <row r="120" ht="15.75" customHeight="1">
      <c r="A120" s="5" t="s">
        <v>496</v>
      </c>
      <c r="B120" s="5"/>
      <c r="C120" s="6"/>
      <c r="D120" s="5"/>
      <c r="E120" s="5" t="s">
        <v>497</v>
      </c>
      <c r="F120" s="5" t="str">
        <f>IFERROR(__xludf.DUMMYFUNCTION("REGEXEXTRACT(E120, ""^[^0-9]+"")"),"prag_ru")</f>
        <v>prag_ru</v>
      </c>
      <c r="G120" s="5" t="s">
        <v>498</v>
      </c>
      <c r="H120" s="5" t="s">
        <v>19</v>
      </c>
      <c r="I120" s="5" t="s">
        <v>498</v>
      </c>
      <c r="J120" s="5" t="s">
        <v>19</v>
      </c>
      <c r="K120" s="10" t="s">
        <v>499</v>
      </c>
      <c r="L120" s="5" t="s">
        <v>498</v>
      </c>
      <c r="M120" s="7" t="s">
        <v>494</v>
      </c>
      <c r="N120" s="8" t="s">
        <v>495</v>
      </c>
      <c r="O120" s="7"/>
      <c r="P120" s="7"/>
      <c r="Q120" s="5" t="s">
        <v>19</v>
      </c>
    </row>
    <row r="121" ht="15.75" customHeight="1">
      <c r="A121" s="5" t="s">
        <v>500</v>
      </c>
      <c r="B121" s="5"/>
      <c r="C121" s="6"/>
      <c r="D121" s="5"/>
      <c r="E121" s="5" t="s">
        <v>501</v>
      </c>
      <c r="F121" s="5" t="str">
        <f>IFERROR(__xludf.DUMMYFUNCTION("REGEXEXTRACT(E121, ""^[^0-9]+"")"),"prag_ru")</f>
        <v>prag_ru</v>
      </c>
      <c r="G121" s="9" t="s">
        <v>502</v>
      </c>
      <c r="H121" s="5" t="s">
        <v>19</v>
      </c>
      <c r="I121" s="9" t="s">
        <v>502</v>
      </c>
      <c r="J121" s="5" t="s">
        <v>19</v>
      </c>
      <c r="K121" s="10" t="s">
        <v>503</v>
      </c>
      <c r="L121" s="9" t="s">
        <v>502</v>
      </c>
      <c r="M121" s="7" t="s">
        <v>494</v>
      </c>
      <c r="N121" s="7"/>
      <c r="O121" s="8" t="s">
        <v>477</v>
      </c>
      <c r="P121" s="7"/>
      <c r="Q121" s="5" t="s">
        <v>19</v>
      </c>
    </row>
    <row r="122" ht="15.75" customHeight="1">
      <c r="A122" s="5" t="s">
        <v>504</v>
      </c>
      <c r="B122" s="5"/>
      <c r="C122" s="6"/>
      <c r="D122" s="5"/>
      <c r="E122" s="5" t="s">
        <v>505</v>
      </c>
      <c r="F122" s="5" t="str">
        <f>IFERROR(__xludf.DUMMYFUNCTION("REGEXEXTRACT(E122, ""^[^0-9]+"")"),"prag_ru")</f>
        <v>prag_ru</v>
      </c>
      <c r="G122" s="5" t="s">
        <v>506</v>
      </c>
      <c r="H122" s="5" t="s">
        <v>19</v>
      </c>
      <c r="I122" s="5" t="s">
        <v>506</v>
      </c>
      <c r="J122" s="5" t="s">
        <v>19</v>
      </c>
      <c r="K122" s="10" t="s">
        <v>507</v>
      </c>
      <c r="L122" s="5" t="s">
        <v>506</v>
      </c>
      <c r="M122" s="7" t="s">
        <v>494</v>
      </c>
      <c r="N122" s="8" t="s">
        <v>495</v>
      </c>
      <c r="O122" s="7"/>
      <c r="P122" s="7"/>
      <c r="Q122" s="5" t="s">
        <v>19</v>
      </c>
    </row>
    <row r="123" ht="15.75" customHeight="1">
      <c r="A123" s="5" t="s">
        <v>508</v>
      </c>
      <c r="B123" s="5"/>
      <c r="C123" s="6"/>
      <c r="D123" s="5"/>
      <c r="E123" s="5" t="s">
        <v>509</v>
      </c>
      <c r="F123" s="5" t="str">
        <f>IFERROR(__xludf.DUMMYFUNCTION("REGEXEXTRACT(E123, ""^[^0-9]+"")"),"prag_ru")</f>
        <v>prag_ru</v>
      </c>
      <c r="G123" s="5" t="s">
        <v>510</v>
      </c>
      <c r="H123" s="5" t="s">
        <v>19</v>
      </c>
      <c r="I123" s="5" t="s">
        <v>510</v>
      </c>
      <c r="J123" s="5" t="s">
        <v>19</v>
      </c>
      <c r="K123" s="10" t="s">
        <v>511</v>
      </c>
      <c r="L123" s="5" t="s">
        <v>510</v>
      </c>
      <c r="M123" s="7" t="s">
        <v>494</v>
      </c>
      <c r="N123" s="8" t="s">
        <v>495</v>
      </c>
      <c r="O123" s="7"/>
      <c r="P123" s="7"/>
      <c r="Q123" s="5" t="s">
        <v>19</v>
      </c>
    </row>
    <row r="124" ht="15.75" customHeight="1">
      <c r="A124" s="5" t="s">
        <v>512</v>
      </c>
      <c r="B124" s="5"/>
      <c r="C124" s="6"/>
      <c r="D124" s="5"/>
      <c r="E124" s="5" t="s">
        <v>513</v>
      </c>
      <c r="F124" s="5" t="str">
        <f>IFERROR(__xludf.DUMMYFUNCTION("REGEXEXTRACT(E124, ""^[^0-9]+"")"),"prag_ru")</f>
        <v>prag_ru</v>
      </c>
      <c r="G124" s="9" t="s">
        <v>514</v>
      </c>
      <c r="H124" s="5" t="s">
        <v>19</v>
      </c>
      <c r="I124" s="9" t="s">
        <v>514</v>
      </c>
      <c r="J124" s="5" t="s">
        <v>19</v>
      </c>
      <c r="K124" s="10" t="s">
        <v>515</v>
      </c>
      <c r="L124" s="9" t="s">
        <v>514</v>
      </c>
      <c r="M124" s="7" t="s">
        <v>494</v>
      </c>
      <c r="N124" s="8" t="s">
        <v>495</v>
      </c>
      <c r="O124" s="7"/>
      <c r="P124" s="7"/>
      <c r="Q124" s="5" t="s">
        <v>19</v>
      </c>
    </row>
    <row r="125" ht="15.75" customHeight="1">
      <c r="A125" s="5" t="s">
        <v>516</v>
      </c>
      <c r="B125" s="5"/>
      <c r="C125" s="6"/>
      <c r="D125" s="5"/>
      <c r="E125" s="5" t="s">
        <v>19</v>
      </c>
      <c r="F125" s="5" t="str">
        <f>IFERROR(__xludf.DUMMYFUNCTION("REGEXEXTRACT(E125, ""^[^0-9]+"")"),"NA")</f>
        <v>NA</v>
      </c>
      <c r="G125" s="9" t="s">
        <v>517</v>
      </c>
      <c r="H125" s="5" t="s">
        <v>19</v>
      </c>
      <c r="I125" s="9" t="s">
        <v>517</v>
      </c>
      <c r="J125" s="14" t="s">
        <v>517</v>
      </c>
      <c r="K125" s="10" t="s">
        <v>518</v>
      </c>
      <c r="L125" s="9" t="s">
        <v>517</v>
      </c>
      <c r="M125" s="7" t="s">
        <v>519</v>
      </c>
      <c r="N125" s="7"/>
      <c r="O125" s="7"/>
      <c r="P125" s="7"/>
      <c r="Q125" s="5" t="s">
        <v>517</v>
      </c>
    </row>
    <row r="126" ht="15.75" customHeight="1">
      <c r="A126" s="5" t="s">
        <v>520</v>
      </c>
      <c r="B126" s="5"/>
      <c r="C126" s="6"/>
      <c r="D126" s="5"/>
      <c r="E126" s="5" t="s">
        <v>19</v>
      </c>
      <c r="F126" s="5" t="str">
        <f>IFERROR(__xludf.DUMMYFUNCTION("REGEXEXTRACT(E126, ""^[^0-9]+"")"),"NA")</f>
        <v>NA</v>
      </c>
      <c r="G126" s="9" t="s">
        <v>521</v>
      </c>
      <c r="H126" s="5" t="s">
        <v>19</v>
      </c>
      <c r="I126" s="9" t="s">
        <v>521</v>
      </c>
      <c r="J126" s="14" t="s">
        <v>521</v>
      </c>
      <c r="K126" s="10" t="s">
        <v>522</v>
      </c>
      <c r="L126" s="9" t="s">
        <v>521</v>
      </c>
      <c r="M126" s="7" t="s">
        <v>519</v>
      </c>
      <c r="N126" s="7"/>
      <c r="O126" s="7"/>
      <c r="P126" s="7"/>
      <c r="Q126" s="5" t="s">
        <v>521</v>
      </c>
    </row>
    <row r="127" ht="15.75" customHeight="1">
      <c r="A127" s="5" t="s">
        <v>523</v>
      </c>
      <c r="B127" s="5"/>
      <c r="C127" s="6"/>
      <c r="D127" s="5"/>
      <c r="E127" s="5" t="s">
        <v>19</v>
      </c>
      <c r="F127" s="5" t="str">
        <f>IFERROR(__xludf.DUMMYFUNCTION("REGEXEXTRACT(E127, ""^[^0-9]+"")"),"NA")</f>
        <v>NA</v>
      </c>
      <c r="G127" s="9" t="s">
        <v>524</v>
      </c>
      <c r="H127" s="5" t="s">
        <v>19</v>
      </c>
      <c r="I127" s="9" t="s">
        <v>524</v>
      </c>
      <c r="J127" s="5" t="s">
        <v>19</v>
      </c>
      <c r="K127" s="10" t="s">
        <v>525</v>
      </c>
      <c r="L127" s="9" t="s">
        <v>524</v>
      </c>
      <c r="M127" s="7" t="s">
        <v>519</v>
      </c>
      <c r="N127" s="7"/>
      <c r="O127" s="7"/>
      <c r="P127" s="7"/>
      <c r="Q127" s="5" t="s">
        <v>19</v>
      </c>
    </row>
    <row r="128" ht="15.75" customHeight="1">
      <c r="A128" s="5" t="s">
        <v>526</v>
      </c>
      <c r="B128" s="5"/>
      <c r="C128" s="6"/>
      <c r="D128" s="5"/>
      <c r="E128" s="5" t="s">
        <v>19</v>
      </c>
      <c r="F128" s="5" t="str">
        <f>IFERROR(__xludf.DUMMYFUNCTION("REGEXEXTRACT(E128, ""^[^0-9]+"")"),"NA")</f>
        <v>NA</v>
      </c>
      <c r="G128" s="9" t="s">
        <v>527</v>
      </c>
      <c r="H128" s="5" t="s">
        <v>19</v>
      </c>
      <c r="I128" s="9" t="s">
        <v>527</v>
      </c>
      <c r="J128" s="5" t="s">
        <v>19</v>
      </c>
      <c r="K128" s="10" t="s">
        <v>528</v>
      </c>
      <c r="L128" s="9" t="s">
        <v>527</v>
      </c>
      <c r="M128" s="7" t="s">
        <v>519</v>
      </c>
      <c r="N128" s="7"/>
      <c r="O128" s="7"/>
      <c r="P128" s="7"/>
      <c r="Q128" s="5" t="s">
        <v>19</v>
      </c>
    </row>
    <row r="129" ht="15.75" customHeight="1">
      <c r="A129" s="5" t="s">
        <v>529</v>
      </c>
      <c r="B129" s="5"/>
      <c r="C129" s="6"/>
      <c r="D129" s="5"/>
      <c r="E129" s="5" t="s">
        <v>19</v>
      </c>
      <c r="F129" s="5" t="str">
        <f>IFERROR(__xludf.DUMMYFUNCTION("REGEXEXTRACT(E129, ""^[^0-9]+"")"),"NA")</f>
        <v>NA</v>
      </c>
      <c r="G129" s="5" t="s">
        <v>19</v>
      </c>
      <c r="H129" s="5" t="s">
        <v>19</v>
      </c>
      <c r="I129" s="5" t="s">
        <v>19</v>
      </c>
      <c r="J129" s="18" t="s">
        <v>524</v>
      </c>
      <c r="K129" s="5" t="s">
        <v>19</v>
      </c>
      <c r="L129" s="5" t="s">
        <v>19</v>
      </c>
      <c r="M129" s="7" t="s">
        <v>519</v>
      </c>
      <c r="N129" s="7"/>
      <c r="O129" s="7"/>
      <c r="P129" s="7"/>
      <c r="Q129" s="5" t="s">
        <v>524</v>
      </c>
    </row>
    <row r="130" ht="15.75" customHeight="1">
      <c r="A130" s="5" t="s">
        <v>530</v>
      </c>
      <c r="B130" s="5"/>
      <c r="C130" s="6"/>
      <c r="D130" s="5"/>
      <c r="E130" s="5" t="s">
        <v>19</v>
      </c>
      <c r="F130" s="5" t="str">
        <f>IFERROR(__xludf.DUMMYFUNCTION("REGEXEXTRACT(E130, ""^[^0-9]+"")"),"NA")</f>
        <v>NA</v>
      </c>
      <c r="G130" s="9" t="s">
        <v>531</v>
      </c>
      <c r="H130" s="5" t="s">
        <v>19</v>
      </c>
      <c r="I130" s="9" t="s">
        <v>531</v>
      </c>
      <c r="J130" s="5" t="s">
        <v>531</v>
      </c>
      <c r="K130" s="10" t="s">
        <v>532</v>
      </c>
      <c r="L130" s="9" t="s">
        <v>531</v>
      </c>
      <c r="M130" s="7" t="s">
        <v>519</v>
      </c>
      <c r="N130" s="7"/>
      <c r="O130" s="7"/>
      <c r="P130" s="7"/>
      <c r="Q130" s="5" t="s">
        <v>531</v>
      </c>
    </row>
    <row r="131" ht="15.75" customHeight="1">
      <c r="A131" s="5" t="s">
        <v>533</v>
      </c>
      <c r="B131" s="5"/>
      <c r="C131" s="6"/>
      <c r="D131" s="5"/>
      <c r="E131" s="5" t="s">
        <v>19</v>
      </c>
      <c r="F131" s="5" t="str">
        <f>IFERROR(__xludf.DUMMYFUNCTION("REGEXEXTRACT(E131, ""^[^0-9]+"")"),"NA")</f>
        <v>NA</v>
      </c>
      <c r="G131" s="9" t="s">
        <v>534</v>
      </c>
      <c r="H131" s="5" t="s">
        <v>19</v>
      </c>
      <c r="I131" s="9" t="s">
        <v>534</v>
      </c>
      <c r="J131" s="5" t="s">
        <v>19</v>
      </c>
      <c r="K131" s="10" t="s">
        <v>535</v>
      </c>
      <c r="L131" s="9" t="s">
        <v>534</v>
      </c>
      <c r="M131" s="7" t="s">
        <v>519</v>
      </c>
      <c r="N131" s="7"/>
      <c r="O131" s="7"/>
      <c r="P131" s="7"/>
      <c r="Q131" s="5" t="s">
        <v>19</v>
      </c>
    </row>
    <row r="132" ht="15.75" customHeight="1">
      <c r="A132" s="5" t="s">
        <v>536</v>
      </c>
      <c r="B132" s="5"/>
      <c r="C132" s="6"/>
      <c r="D132" s="5"/>
      <c r="E132" s="5" t="s">
        <v>19</v>
      </c>
      <c r="F132" s="5" t="str">
        <f>IFERROR(__xludf.DUMMYFUNCTION("REGEXEXTRACT(E132, ""^[^0-9]+"")"),"NA")</f>
        <v>NA</v>
      </c>
      <c r="G132" s="9" t="s">
        <v>537</v>
      </c>
      <c r="H132" s="5" t="s">
        <v>19</v>
      </c>
      <c r="I132" s="9" t="s">
        <v>537</v>
      </c>
      <c r="J132" s="5" t="s">
        <v>537</v>
      </c>
      <c r="K132" s="10" t="s">
        <v>538</v>
      </c>
      <c r="L132" s="9" t="s">
        <v>537</v>
      </c>
      <c r="M132" s="7" t="s">
        <v>519</v>
      </c>
      <c r="N132" s="7"/>
      <c r="O132" s="7"/>
      <c r="P132" s="7"/>
      <c r="Q132" s="5" t="s">
        <v>537</v>
      </c>
    </row>
    <row r="133" ht="15.75" customHeight="1">
      <c r="A133" s="5" t="s">
        <v>539</v>
      </c>
      <c r="B133" s="5"/>
      <c r="C133" s="6"/>
      <c r="D133" s="5"/>
      <c r="E133" s="5" t="s">
        <v>19</v>
      </c>
      <c r="F133" s="5" t="str">
        <f>IFERROR(__xludf.DUMMYFUNCTION("REGEXEXTRACT(E133, ""^[^0-9]+"")"),"NA")</f>
        <v>NA</v>
      </c>
      <c r="G133" s="9" t="s">
        <v>540</v>
      </c>
      <c r="H133" s="5" t="s">
        <v>19</v>
      </c>
      <c r="I133" s="9" t="s">
        <v>540</v>
      </c>
      <c r="J133" s="5" t="s">
        <v>19</v>
      </c>
      <c r="K133" s="10" t="s">
        <v>541</v>
      </c>
      <c r="L133" s="9" t="s">
        <v>540</v>
      </c>
      <c r="M133" s="7" t="s">
        <v>519</v>
      </c>
      <c r="N133" s="7"/>
      <c r="O133" s="7"/>
      <c r="P133" s="7"/>
      <c r="Q133" s="5" t="s">
        <v>19</v>
      </c>
    </row>
    <row r="134" ht="15.75" customHeight="1">
      <c r="A134" s="5" t="s">
        <v>542</v>
      </c>
      <c r="B134" s="5"/>
      <c r="C134" s="6"/>
      <c r="D134" s="5"/>
      <c r="E134" s="5" t="s">
        <v>19</v>
      </c>
      <c r="F134" s="5" t="str">
        <f>IFERROR(__xludf.DUMMYFUNCTION("REGEXEXTRACT(E134, ""^[^0-9]+"")"),"NA")</f>
        <v>NA</v>
      </c>
      <c r="G134" s="9" t="s">
        <v>543</v>
      </c>
      <c r="H134" s="5" t="s">
        <v>19</v>
      </c>
      <c r="I134" s="9" t="s">
        <v>543</v>
      </c>
      <c r="J134" s="5" t="s">
        <v>19</v>
      </c>
      <c r="K134" s="10" t="s">
        <v>544</v>
      </c>
      <c r="L134" s="9" t="s">
        <v>543</v>
      </c>
      <c r="M134" s="7" t="s">
        <v>545</v>
      </c>
      <c r="N134" s="7"/>
      <c r="O134" s="7"/>
      <c r="P134" s="7"/>
      <c r="Q134" s="5" t="s">
        <v>19</v>
      </c>
    </row>
    <row r="135" ht="15.75" customHeight="1">
      <c r="A135" s="5" t="s">
        <v>546</v>
      </c>
      <c r="B135" s="5"/>
      <c r="C135" s="6"/>
      <c r="D135" s="5"/>
      <c r="E135" s="5" t="s">
        <v>19</v>
      </c>
      <c r="F135" s="5" t="str">
        <f>IFERROR(__xludf.DUMMYFUNCTION("REGEXEXTRACT(E135, ""^[^0-9]+"")"),"NA")</f>
        <v>NA</v>
      </c>
      <c r="G135" s="9" t="s">
        <v>547</v>
      </c>
      <c r="H135" s="5" t="s">
        <v>19</v>
      </c>
      <c r="I135" s="9" t="s">
        <v>547</v>
      </c>
      <c r="J135" s="5" t="s">
        <v>19</v>
      </c>
      <c r="K135" s="10" t="s">
        <v>548</v>
      </c>
      <c r="L135" s="9" t="s">
        <v>547</v>
      </c>
      <c r="M135" s="7" t="s">
        <v>545</v>
      </c>
      <c r="N135" s="7"/>
      <c r="O135" s="7"/>
      <c r="P135" s="7"/>
      <c r="Q135" s="5" t="s">
        <v>19</v>
      </c>
    </row>
    <row r="136" ht="15.75" customHeight="1">
      <c r="A136" s="5" t="s">
        <v>549</v>
      </c>
      <c r="B136" s="5"/>
      <c r="C136" s="6"/>
      <c r="D136" s="5"/>
      <c r="E136" s="5" t="s">
        <v>19</v>
      </c>
      <c r="F136" s="5" t="str">
        <f>IFERROR(__xludf.DUMMYFUNCTION("REGEXEXTRACT(E136, ""^[^0-9]+"")"),"NA")</f>
        <v>NA</v>
      </c>
      <c r="G136" s="9" t="s">
        <v>550</v>
      </c>
      <c r="H136" s="5" t="s">
        <v>19</v>
      </c>
      <c r="I136" s="9" t="s">
        <v>550</v>
      </c>
      <c r="J136" s="5" t="s">
        <v>19</v>
      </c>
      <c r="K136" s="10" t="s">
        <v>551</v>
      </c>
      <c r="L136" s="9" t="s">
        <v>550</v>
      </c>
      <c r="M136" s="7" t="s">
        <v>545</v>
      </c>
      <c r="N136" s="7"/>
      <c r="O136" s="7"/>
      <c r="P136" s="7"/>
      <c r="Q136" s="5" t="s">
        <v>19</v>
      </c>
    </row>
    <row r="137" ht="15.75" customHeight="1">
      <c r="A137" s="5" t="s">
        <v>552</v>
      </c>
      <c r="B137" s="5" t="s">
        <v>553</v>
      </c>
      <c r="C137" s="6"/>
      <c r="D137" s="5"/>
      <c r="E137" s="5" t="s">
        <v>19</v>
      </c>
      <c r="F137" s="5" t="str">
        <f>IFERROR(__xludf.DUMMYFUNCTION("REGEXEXTRACT(E137, ""^[^0-9]+"")"),"NA")</f>
        <v>NA</v>
      </c>
      <c r="G137" s="9" t="s">
        <v>554</v>
      </c>
      <c r="H137" s="5" t="s">
        <v>19</v>
      </c>
      <c r="I137" s="9" t="s">
        <v>554</v>
      </c>
      <c r="J137" s="5" t="s">
        <v>19</v>
      </c>
      <c r="K137" s="10" t="s">
        <v>555</v>
      </c>
      <c r="L137" s="9" t="s">
        <v>554</v>
      </c>
      <c r="M137" s="7" t="s">
        <v>545</v>
      </c>
      <c r="N137" s="7"/>
      <c r="O137" s="7"/>
      <c r="P137" s="7"/>
      <c r="Q137" s="5" t="s">
        <v>19</v>
      </c>
    </row>
    <row r="138" ht="15.75" customHeight="1">
      <c r="A138" s="5" t="s">
        <v>556</v>
      </c>
      <c r="B138" s="5"/>
      <c r="C138" s="6"/>
      <c r="D138" s="5"/>
      <c r="E138" s="5" t="s">
        <v>19</v>
      </c>
      <c r="F138" s="5" t="str">
        <f>IFERROR(__xludf.DUMMYFUNCTION("REGEXEXTRACT(E138, ""^[^0-9]+"")"),"NA")</f>
        <v>NA</v>
      </c>
      <c r="G138" s="9" t="s">
        <v>557</v>
      </c>
      <c r="H138" s="5" t="s">
        <v>19</v>
      </c>
      <c r="I138" s="9" t="s">
        <v>557</v>
      </c>
      <c r="J138" s="5" t="s">
        <v>19</v>
      </c>
      <c r="K138" s="10" t="s">
        <v>558</v>
      </c>
      <c r="L138" s="9" t="s">
        <v>557</v>
      </c>
      <c r="M138" s="7" t="s">
        <v>545</v>
      </c>
      <c r="N138" s="7"/>
      <c r="O138" s="7"/>
      <c r="P138" s="7"/>
      <c r="Q138" s="5" t="s">
        <v>19</v>
      </c>
    </row>
    <row r="139" ht="15.75" customHeight="1">
      <c r="A139" s="5" t="s">
        <v>559</v>
      </c>
      <c r="B139" s="5"/>
      <c r="C139" s="6"/>
      <c r="D139" s="5"/>
      <c r="E139" s="5" t="s">
        <v>19</v>
      </c>
      <c r="F139" s="5" t="str">
        <f>IFERROR(__xludf.DUMMYFUNCTION("REGEXEXTRACT(E139, ""^[^0-9]+"")"),"NA")</f>
        <v>NA</v>
      </c>
      <c r="G139" s="9" t="s">
        <v>560</v>
      </c>
      <c r="H139" s="5" t="s">
        <v>19</v>
      </c>
      <c r="I139" s="9" t="s">
        <v>560</v>
      </c>
      <c r="J139" s="5" t="s">
        <v>19</v>
      </c>
      <c r="K139" s="10" t="s">
        <v>561</v>
      </c>
      <c r="L139" s="9" t="s">
        <v>560</v>
      </c>
      <c r="M139" s="7" t="s">
        <v>545</v>
      </c>
      <c r="N139" s="7"/>
      <c r="O139" s="7"/>
      <c r="P139" s="7"/>
      <c r="Q139" s="5" t="s">
        <v>19</v>
      </c>
    </row>
    <row r="140" ht="15.75" customHeight="1">
      <c r="A140" s="5" t="s">
        <v>562</v>
      </c>
      <c r="B140" s="5"/>
      <c r="C140" s="6"/>
      <c r="D140" s="11"/>
      <c r="E140" s="9" t="s">
        <v>563</v>
      </c>
      <c r="F140" s="5" t="str">
        <f>IFERROR(__xludf.DUMMYFUNCTION("REGEXEXTRACT(E140, ""^[^0-9]+"")"),"poi")</f>
        <v>poi</v>
      </c>
      <c r="G140" s="5" t="s">
        <v>19</v>
      </c>
      <c r="H140" s="5" t="s">
        <v>19</v>
      </c>
      <c r="I140" s="5" t="s">
        <v>19</v>
      </c>
      <c r="J140" s="5" t="s">
        <v>19</v>
      </c>
      <c r="K140" s="5" t="s">
        <v>19</v>
      </c>
      <c r="L140" s="5" t="s">
        <v>19</v>
      </c>
      <c r="M140" s="7" t="s">
        <v>545</v>
      </c>
      <c r="N140" s="7"/>
      <c r="O140" s="7"/>
      <c r="P140" s="7"/>
      <c r="Q140" s="5" t="s">
        <v>19</v>
      </c>
    </row>
    <row r="141" ht="15.75" customHeight="1">
      <c r="A141" s="5" t="s">
        <v>564</v>
      </c>
      <c r="B141" s="5"/>
      <c r="C141" s="6"/>
      <c r="D141" s="11"/>
      <c r="E141" s="9" t="s">
        <v>565</v>
      </c>
      <c r="F141" s="5" t="str">
        <f>IFERROR(__xludf.DUMMYFUNCTION("REGEXEXTRACT(E141, ""^[^0-9]+"")"),"poi")</f>
        <v>poi</v>
      </c>
      <c r="G141" s="5" t="s">
        <v>19</v>
      </c>
      <c r="H141" s="5" t="s">
        <v>19</v>
      </c>
      <c r="I141" s="5" t="s">
        <v>19</v>
      </c>
      <c r="J141" s="5" t="s">
        <v>19</v>
      </c>
      <c r="K141" s="5" t="s">
        <v>19</v>
      </c>
      <c r="L141" s="5" t="s">
        <v>19</v>
      </c>
      <c r="M141" s="7" t="s">
        <v>545</v>
      </c>
      <c r="N141" s="7"/>
      <c r="O141" s="7"/>
      <c r="P141" s="7"/>
      <c r="Q141" s="5" t="s">
        <v>19</v>
      </c>
    </row>
    <row r="142" ht="15.75" customHeight="1">
      <c r="A142" s="5" t="s">
        <v>566</v>
      </c>
      <c r="B142" s="5"/>
      <c r="C142" s="6"/>
      <c r="D142" s="11"/>
      <c r="E142" s="9" t="s">
        <v>567</v>
      </c>
      <c r="F142" s="5" t="str">
        <f>IFERROR(__xludf.DUMMYFUNCTION("REGEXEXTRACT(E142, ""^[^0-9]+"")"),"poi")</f>
        <v>poi</v>
      </c>
      <c r="G142" s="5" t="s">
        <v>19</v>
      </c>
      <c r="H142" s="5" t="s">
        <v>19</v>
      </c>
      <c r="I142" s="5" t="s">
        <v>19</v>
      </c>
      <c r="J142" s="5" t="s">
        <v>19</v>
      </c>
      <c r="K142" s="5" t="s">
        <v>19</v>
      </c>
      <c r="L142" s="5" t="s">
        <v>19</v>
      </c>
      <c r="M142" s="7" t="s">
        <v>545</v>
      </c>
      <c r="N142" s="7"/>
      <c r="O142" s="7"/>
      <c r="P142" s="7"/>
      <c r="Q142" s="5" t="s">
        <v>19</v>
      </c>
    </row>
    <row r="143" ht="15.75" customHeight="1">
      <c r="A143" s="5" t="s">
        <v>568</v>
      </c>
      <c r="B143" s="5"/>
      <c r="C143" s="6"/>
      <c r="D143" s="11"/>
      <c r="E143" s="9" t="s">
        <v>569</v>
      </c>
      <c r="F143" s="5" t="str">
        <f>IFERROR(__xludf.DUMMYFUNCTION("REGEXEXTRACT(E143, ""^[^0-9]+"")"),"poi")</f>
        <v>poi</v>
      </c>
      <c r="G143" s="5" t="s">
        <v>19</v>
      </c>
      <c r="H143" s="5" t="s">
        <v>19</v>
      </c>
      <c r="I143" s="5" t="s">
        <v>19</v>
      </c>
      <c r="J143" s="5" t="s">
        <v>19</v>
      </c>
      <c r="K143" s="5" t="s">
        <v>19</v>
      </c>
      <c r="L143" s="5" t="s">
        <v>19</v>
      </c>
      <c r="M143" s="7" t="s">
        <v>545</v>
      </c>
      <c r="N143" s="7"/>
      <c r="O143" s="7"/>
      <c r="P143" s="7"/>
      <c r="Q143" s="5" t="s">
        <v>19</v>
      </c>
    </row>
    <row r="144" ht="15.75" customHeight="1">
      <c r="A144" s="5" t="s">
        <v>570</v>
      </c>
      <c r="B144" s="5" t="s">
        <v>571</v>
      </c>
      <c r="C144" s="6"/>
      <c r="D144" s="5"/>
      <c r="E144" s="5" t="s">
        <v>572</v>
      </c>
      <c r="F144" s="5" t="str">
        <f>IFERROR(__xludf.DUMMYFUNCTION("REGEXEXTRACT(E144, ""^[^0-9]+"")"),"poi")</f>
        <v>poi</v>
      </c>
      <c r="G144" s="9" t="s">
        <v>573</v>
      </c>
      <c r="H144" s="5" t="s">
        <v>19</v>
      </c>
      <c r="I144" s="9" t="s">
        <v>573</v>
      </c>
      <c r="J144" s="5" t="s">
        <v>19</v>
      </c>
      <c r="K144" s="10" t="s">
        <v>574</v>
      </c>
      <c r="L144" s="9" t="s">
        <v>573</v>
      </c>
      <c r="M144" s="7" t="s">
        <v>545</v>
      </c>
      <c r="N144" s="8" t="s">
        <v>27</v>
      </c>
      <c r="O144" s="7"/>
      <c r="P144" s="7"/>
      <c r="Q144" s="5" t="s">
        <v>19</v>
      </c>
    </row>
    <row r="145" ht="15.75" customHeight="1">
      <c r="A145" s="5" t="s">
        <v>575</v>
      </c>
      <c r="B145" s="5" t="s">
        <v>576</v>
      </c>
      <c r="C145" s="6"/>
      <c r="D145" s="11"/>
      <c r="E145" s="9" t="s">
        <v>577</v>
      </c>
      <c r="F145" s="5" t="str">
        <f>IFERROR(__xludf.DUMMYFUNCTION("REGEXEXTRACT(E145, ""^[^0-9]+"")"),"poi")</f>
        <v>poi</v>
      </c>
      <c r="G145" s="9" t="s">
        <v>578</v>
      </c>
      <c r="H145" s="5" t="s">
        <v>19</v>
      </c>
      <c r="I145" s="9" t="s">
        <v>578</v>
      </c>
      <c r="J145" s="5" t="s">
        <v>19</v>
      </c>
      <c r="K145" s="10" t="s">
        <v>579</v>
      </c>
      <c r="L145" s="9" t="s">
        <v>578</v>
      </c>
      <c r="M145" s="7" t="s">
        <v>545</v>
      </c>
      <c r="N145" s="7"/>
      <c r="O145" s="7"/>
      <c r="P145" s="7"/>
      <c r="Q145" s="5" t="s">
        <v>19</v>
      </c>
    </row>
    <row r="146" ht="15.75" customHeight="1">
      <c r="A146" s="9"/>
      <c r="B146" s="9"/>
      <c r="C146" s="19"/>
      <c r="D146" s="20"/>
      <c r="E146" s="9"/>
      <c r="G146" s="9"/>
      <c r="H146" s="9"/>
      <c r="I146" s="9"/>
      <c r="J146" s="9"/>
      <c r="K146" s="9"/>
      <c r="L146" s="21"/>
      <c r="M146" s="22"/>
      <c r="N146" s="7"/>
      <c r="O146" s="7"/>
      <c r="P146" s="7"/>
      <c r="Q146" s="9"/>
    </row>
    <row r="147" ht="15.75" customHeight="1">
      <c r="A147" s="5" t="s">
        <v>580</v>
      </c>
      <c r="B147" s="5"/>
      <c r="C147" s="6"/>
      <c r="D147" s="5"/>
      <c r="E147" s="5" t="s">
        <v>581</v>
      </c>
      <c r="F147" s="5" t="str">
        <f>IFERROR(__xludf.DUMMYFUNCTION("REGEXEXTRACT(E147, ""^[^0-9]+"")"),"news")</f>
        <v>news</v>
      </c>
      <c r="G147" s="5" t="s">
        <v>19</v>
      </c>
      <c r="H147" s="5" t="s">
        <v>19</v>
      </c>
      <c r="I147" s="5" t="s">
        <v>19</v>
      </c>
      <c r="J147" s="5"/>
      <c r="K147" s="5" t="s">
        <v>19</v>
      </c>
      <c r="L147" s="5" t="s">
        <v>19</v>
      </c>
      <c r="M147" s="7" t="s">
        <v>582</v>
      </c>
      <c r="N147" s="7"/>
      <c r="O147" s="7"/>
      <c r="P147" s="7"/>
      <c r="Q147" s="5" t="s">
        <v>19</v>
      </c>
    </row>
    <row r="148" ht="15.75" customHeight="1">
      <c r="A148" s="14" t="s">
        <v>583</v>
      </c>
      <c r="B148" s="5"/>
      <c r="C148" s="6"/>
      <c r="D148" s="5"/>
      <c r="E148" s="5" t="s">
        <v>584</v>
      </c>
      <c r="F148" s="5" t="str">
        <f>IFERROR(__xludf.DUMMYFUNCTION("REGEXEXTRACT(E148, ""^[^0-9]+"")"),"news")</f>
        <v>news</v>
      </c>
      <c r="G148" s="5" t="s">
        <v>19</v>
      </c>
      <c r="H148" s="5" t="s">
        <v>19</v>
      </c>
      <c r="I148" s="5" t="s">
        <v>19</v>
      </c>
      <c r="J148" s="5"/>
      <c r="K148" s="5" t="s">
        <v>19</v>
      </c>
      <c r="L148" s="5" t="s">
        <v>19</v>
      </c>
      <c r="M148" s="7" t="s">
        <v>582</v>
      </c>
      <c r="N148" s="7"/>
      <c r="O148" s="7"/>
      <c r="P148" s="7"/>
      <c r="Q148" s="5" t="s">
        <v>585</v>
      </c>
    </row>
    <row r="149" ht="15.75" customHeight="1">
      <c r="A149" s="14" t="s">
        <v>586</v>
      </c>
      <c r="B149" s="5"/>
      <c r="C149" s="6"/>
      <c r="D149" s="14" t="s">
        <v>587</v>
      </c>
      <c r="E149" s="5" t="s">
        <v>588</v>
      </c>
      <c r="F149" s="5" t="str">
        <f>IFERROR(__xludf.DUMMYFUNCTION("REGEXEXTRACT(E149, ""^[^0-9]+"")"),"news")</f>
        <v>news</v>
      </c>
      <c r="G149" s="5" t="s">
        <v>581</v>
      </c>
      <c r="H149" s="5" t="s">
        <v>19</v>
      </c>
      <c r="I149" s="5" t="s">
        <v>581</v>
      </c>
      <c r="J149" s="14" t="s">
        <v>581</v>
      </c>
      <c r="K149" s="5" t="s">
        <v>19</v>
      </c>
      <c r="L149" s="5" t="s">
        <v>19</v>
      </c>
      <c r="M149" s="7" t="s">
        <v>582</v>
      </c>
      <c r="N149" s="7"/>
      <c r="O149" s="7"/>
      <c r="P149" s="7"/>
      <c r="Q149" s="5" t="s">
        <v>589</v>
      </c>
    </row>
    <row r="150" ht="15.75" customHeight="1">
      <c r="A150" s="14" t="s">
        <v>590</v>
      </c>
      <c r="B150" s="5"/>
      <c r="C150" s="6"/>
      <c r="D150" s="5"/>
      <c r="E150" s="5" t="s">
        <v>591</v>
      </c>
      <c r="F150" s="5" t="str">
        <f>IFERROR(__xludf.DUMMYFUNCTION("REGEXEXTRACT(E150, ""^[^0-9]+"")"),"news")</f>
        <v>news</v>
      </c>
      <c r="G150" s="5" t="s">
        <v>584</v>
      </c>
      <c r="H150" s="5" t="s">
        <v>19</v>
      </c>
      <c r="I150" s="5" t="s">
        <v>584</v>
      </c>
      <c r="J150" s="14" t="s">
        <v>584</v>
      </c>
      <c r="K150" s="5" t="s">
        <v>19</v>
      </c>
      <c r="L150" s="5" t="s">
        <v>19</v>
      </c>
      <c r="M150" s="7" t="s">
        <v>582</v>
      </c>
      <c r="N150" s="7"/>
      <c r="O150" s="7"/>
      <c r="P150" s="7"/>
      <c r="Q150" s="5" t="s">
        <v>592</v>
      </c>
    </row>
    <row r="151" ht="15.75" customHeight="1">
      <c r="A151" s="5" t="s">
        <v>593</v>
      </c>
      <c r="B151" s="5"/>
      <c r="C151" s="6"/>
      <c r="D151" s="5"/>
      <c r="E151" s="5" t="s">
        <v>594</v>
      </c>
      <c r="F151" s="5" t="str">
        <f>IFERROR(__xludf.DUMMYFUNCTION("REGEXEXTRACT(E151, ""^[^0-9]+"")"),"news")</f>
        <v>news</v>
      </c>
      <c r="G151" s="5" t="s">
        <v>19</v>
      </c>
      <c r="H151" s="5" t="s">
        <v>19</v>
      </c>
      <c r="I151" s="5" t="s">
        <v>19</v>
      </c>
      <c r="J151" s="5"/>
      <c r="K151" s="5" t="s">
        <v>19</v>
      </c>
      <c r="L151" s="5" t="s">
        <v>19</v>
      </c>
      <c r="M151" s="7" t="s">
        <v>582</v>
      </c>
      <c r="N151" s="7"/>
      <c r="O151" s="7"/>
      <c r="P151" s="7"/>
      <c r="Q151" s="5" t="s">
        <v>19</v>
      </c>
    </row>
    <row r="152" ht="15.75" customHeight="1">
      <c r="A152" s="5" t="s">
        <v>595</v>
      </c>
      <c r="B152" s="5"/>
      <c r="C152" s="6"/>
      <c r="D152" s="5"/>
      <c r="E152" s="5" t="s">
        <v>596</v>
      </c>
      <c r="F152" s="5" t="str">
        <f>IFERROR(__xludf.DUMMYFUNCTION("REGEXEXTRACT(E152, ""^[^0-9]+"")"),"news")</f>
        <v>news</v>
      </c>
      <c r="G152" s="5" t="s">
        <v>19</v>
      </c>
      <c r="H152" s="5" t="s">
        <v>19</v>
      </c>
      <c r="I152" s="5" t="s">
        <v>19</v>
      </c>
      <c r="J152" s="5"/>
      <c r="K152" s="5" t="s">
        <v>19</v>
      </c>
      <c r="L152" s="5" t="s">
        <v>19</v>
      </c>
      <c r="M152" s="7" t="s">
        <v>582</v>
      </c>
      <c r="N152" s="7"/>
      <c r="O152" s="7"/>
      <c r="P152" s="7"/>
      <c r="Q152" s="5" t="s">
        <v>19</v>
      </c>
    </row>
    <row r="153" ht="15.75" customHeight="1">
      <c r="A153" s="5" t="s">
        <v>597</v>
      </c>
      <c r="B153" s="5" t="s">
        <v>598</v>
      </c>
      <c r="C153" s="6"/>
      <c r="D153" s="5" t="s">
        <v>598</v>
      </c>
      <c r="E153" s="5" t="s">
        <v>599</v>
      </c>
      <c r="F153" s="5" t="str">
        <f>IFERROR(__xludf.DUMMYFUNCTION("REGEXEXTRACT(E153, ""^[^0-9]+"")"),"news")</f>
        <v>news</v>
      </c>
      <c r="G153" s="5" t="s">
        <v>588</v>
      </c>
      <c r="H153" s="5" t="s">
        <v>19</v>
      </c>
      <c r="I153" s="5" t="s">
        <v>588</v>
      </c>
      <c r="J153" s="14" t="s">
        <v>588</v>
      </c>
      <c r="K153" s="5" t="s">
        <v>19</v>
      </c>
      <c r="L153" s="5" t="s">
        <v>19</v>
      </c>
      <c r="M153" s="7" t="s">
        <v>582</v>
      </c>
      <c r="N153" s="7"/>
      <c r="O153" s="7"/>
      <c r="P153" s="7"/>
      <c r="Q153" s="5" t="s">
        <v>600</v>
      </c>
    </row>
    <row r="154" ht="15.75" customHeight="1">
      <c r="A154" s="5" t="s">
        <v>601</v>
      </c>
      <c r="B154" s="5" t="s">
        <v>602</v>
      </c>
      <c r="C154" s="6"/>
      <c r="D154" s="5" t="s">
        <v>602</v>
      </c>
      <c r="E154" s="5" t="s">
        <v>603</v>
      </c>
      <c r="F154" s="5" t="str">
        <f>IFERROR(__xludf.DUMMYFUNCTION("REGEXEXTRACT(E154, ""^[^0-9]+"")"),"news")</f>
        <v>news</v>
      </c>
      <c r="G154" s="5" t="s">
        <v>591</v>
      </c>
      <c r="H154" s="5" t="s">
        <v>19</v>
      </c>
      <c r="I154" s="5" t="s">
        <v>591</v>
      </c>
      <c r="J154" s="14" t="s">
        <v>591</v>
      </c>
      <c r="K154" s="5" t="s">
        <v>19</v>
      </c>
      <c r="L154" s="5" t="s">
        <v>19</v>
      </c>
      <c r="M154" s="7" t="s">
        <v>582</v>
      </c>
      <c r="N154" s="7"/>
      <c r="O154" s="7"/>
      <c r="P154" s="7"/>
      <c r="Q154" s="5" t="s">
        <v>604</v>
      </c>
    </row>
    <row r="155" ht="15.75" customHeight="1">
      <c r="A155" s="5" t="s">
        <v>605</v>
      </c>
      <c r="B155" s="5" t="s">
        <v>606</v>
      </c>
      <c r="C155" s="6"/>
      <c r="D155" s="5" t="s">
        <v>607</v>
      </c>
      <c r="E155" s="5" t="s">
        <v>608</v>
      </c>
      <c r="F155" s="5" t="str">
        <f>IFERROR(__xludf.DUMMYFUNCTION("REGEXEXTRACT(E155, ""^[^0-9]+"")"),"news")</f>
        <v>news</v>
      </c>
      <c r="G155" s="5" t="s">
        <v>594</v>
      </c>
      <c r="H155" s="5" t="s">
        <v>19</v>
      </c>
      <c r="I155" s="5" t="s">
        <v>594</v>
      </c>
      <c r="J155" s="14" t="s">
        <v>594</v>
      </c>
      <c r="K155" s="5" t="s">
        <v>19</v>
      </c>
      <c r="L155" s="5" t="s">
        <v>19</v>
      </c>
      <c r="M155" s="7" t="s">
        <v>582</v>
      </c>
      <c r="N155" s="7"/>
      <c r="O155" s="7"/>
      <c r="P155" s="7"/>
      <c r="Q155" s="5" t="s">
        <v>609</v>
      </c>
    </row>
    <row r="156" ht="15.75" customHeight="1">
      <c r="A156" s="5" t="s">
        <v>610</v>
      </c>
      <c r="B156" s="5"/>
      <c r="C156" s="6"/>
      <c r="D156" s="5"/>
      <c r="E156" s="5" t="s">
        <v>611</v>
      </c>
      <c r="F156" s="5" t="str">
        <f>IFERROR(__xludf.DUMMYFUNCTION("REGEXEXTRACT(E156, ""^[^0-9]+"")"),"news")</f>
        <v>news</v>
      </c>
      <c r="G156" s="5" t="s">
        <v>19</v>
      </c>
      <c r="H156" s="5" t="s">
        <v>19</v>
      </c>
      <c r="I156" s="5" t="s">
        <v>19</v>
      </c>
      <c r="J156" s="5"/>
      <c r="K156" s="5" t="s">
        <v>19</v>
      </c>
      <c r="L156" s="5" t="s">
        <v>19</v>
      </c>
      <c r="M156" s="7" t="s">
        <v>582</v>
      </c>
      <c r="N156" s="7"/>
      <c r="O156" s="7"/>
      <c r="P156" s="7"/>
      <c r="Q156" s="5" t="s">
        <v>19</v>
      </c>
    </row>
    <row r="157" ht="15.75" customHeight="1">
      <c r="A157" s="5" t="s">
        <v>612</v>
      </c>
      <c r="B157" s="5"/>
      <c r="C157" s="6"/>
      <c r="D157" s="5"/>
      <c r="E157" s="5" t="s">
        <v>613</v>
      </c>
      <c r="F157" s="5" t="str">
        <f>IFERROR(__xludf.DUMMYFUNCTION("REGEXEXTRACT(E157, ""^[^0-9]+"")"),"news")</f>
        <v>news</v>
      </c>
      <c r="G157" s="5" t="s">
        <v>19</v>
      </c>
      <c r="H157" s="5" t="s">
        <v>19</v>
      </c>
      <c r="I157" s="5" t="s">
        <v>19</v>
      </c>
      <c r="J157" s="5"/>
      <c r="K157" s="5" t="s">
        <v>19</v>
      </c>
      <c r="L157" s="5" t="s">
        <v>19</v>
      </c>
      <c r="M157" s="7" t="s">
        <v>582</v>
      </c>
      <c r="N157" s="7"/>
      <c r="O157" s="7"/>
      <c r="P157" s="7"/>
      <c r="Q157" s="5" t="s">
        <v>19</v>
      </c>
    </row>
    <row r="158" ht="15.75" customHeight="1">
      <c r="A158" s="5" t="s">
        <v>614</v>
      </c>
      <c r="B158" s="5" t="s">
        <v>615</v>
      </c>
      <c r="C158" s="6"/>
      <c r="D158" s="5" t="s">
        <v>615</v>
      </c>
      <c r="E158" s="5" t="s">
        <v>616</v>
      </c>
      <c r="F158" s="5" t="str">
        <f>IFERROR(__xludf.DUMMYFUNCTION("REGEXEXTRACT(E158, ""^[^0-9]+"")"),"news")</f>
        <v>news</v>
      </c>
      <c r="G158" s="5" t="s">
        <v>596</v>
      </c>
      <c r="H158" s="5" t="s">
        <v>19</v>
      </c>
      <c r="I158" s="5" t="s">
        <v>596</v>
      </c>
      <c r="J158" s="14" t="s">
        <v>596</v>
      </c>
      <c r="K158" s="5" t="s">
        <v>19</v>
      </c>
      <c r="L158" s="5" t="s">
        <v>19</v>
      </c>
      <c r="M158" s="7" t="s">
        <v>582</v>
      </c>
      <c r="N158" s="7"/>
      <c r="O158" s="7"/>
      <c r="P158" s="7"/>
      <c r="Q158" s="5" t="s">
        <v>617</v>
      </c>
    </row>
    <row r="159" ht="15.75" customHeight="1">
      <c r="A159" s="5" t="s">
        <v>618</v>
      </c>
      <c r="B159" s="5"/>
      <c r="C159" s="6"/>
      <c r="D159" s="5"/>
      <c r="E159" s="5" t="s">
        <v>619</v>
      </c>
      <c r="F159" s="5" t="str">
        <f>IFERROR(__xludf.DUMMYFUNCTION("REGEXEXTRACT(E159, ""^[^0-9]+"")"),"news")</f>
        <v>news</v>
      </c>
      <c r="G159" s="5" t="s">
        <v>19</v>
      </c>
      <c r="H159" s="5" t="s">
        <v>19</v>
      </c>
      <c r="I159" s="5" t="s">
        <v>19</v>
      </c>
      <c r="J159" s="5"/>
      <c r="K159" s="5" t="s">
        <v>19</v>
      </c>
      <c r="L159" s="5" t="s">
        <v>19</v>
      </c>
      <c r="M159" s="7" t="s">
        <v>582</v>
      </c>
      <c r="N159" s="7"/>
      <c r="O159" s="7"/>
      <c r="P159" s="7"/>
      <c r="Q159" s="5" t="s">
        <v>19</v>
      </c>
    </row>
    <row r="160" ht="15.75" customHeight="1">
      <c r="A160" s="5" t="s">
        <v>620</v>
      </c>
      <c r="B160" s="5"/>
      <c r="C160" s="6"/>
      <c r="D160" s="5"/>
      <c r="E160" s="5" t="s">
        <v>621</v>
      </c>
      <c r="F160" s="5" t="str">
        <f>IFERROR(__xludf.DUMMYFUNCTION("REGEXEXTRACT(E160, ""^[^0-9]+"")"),"news")</f>
        <v>news</v>
      </c>
      <c r="G160" s="5" t="s">
        <v>599</v>
      </c>
      <c r="H160" s="5" t="s">
        <v>19</v>
      </c>
      <c r="I160" s="5" t="s">
        <v>599</v>
      </c>
      <c r="J160" s="14" t="s">
        <v>599</v>
      </c>
      <c r="K160" s="5" t="s">
        <v>19</v>
      </c>
      <c r="L160" s="5" t="s">
        <v>19</v>
      </c>
      <c r="M160" s="7" t="s">
        <v>582</v>
      </c>
      <c r="N160" s="7"/>
      <c r="O160" s="7"/>
      <c r="P160" s="7"/>
      <c r="Q160" s="5" t="s">
        <v>622</v>
      </c>
    </row>
    <row r="161" ht="15.75" customHeight="1">
      <c r="A161" s="5" t="s">
        <v>623</v>
      </c>
      <c r="B161" s="5" t="s">
        <v>624</v>
      </c>
      <c r="C161" s="6"/>
      <c r="D161" s="5" t="s">
        <v>624</v>
      </c>
      <c r="E161" s="5" t="s">
        <v>625</v>
      </c>
      <c r="F161" s="5" t="str">
        <f>IFERROR(__xludf.DUMMYFUNCTION("REGEXEXTRACT(E161, ""^[^0-9]+"")"),"news")</f>
        <v>news</v>
      </c>
      <c r="G161" s="5" t="s">
        <v>603</v>
      </c>
      <c r="H161" s="5" t="s">
        <v>19</v>
      </c>
      <c r="I161" s="5" t="s">
        <v>603</v>
      </c>
      <c r="J161" s="14" t="s">
        <v>603</v>
      </c>
      <c r="K161" s="5" t="s">
        <v>19</v>
      </c>
      <c r="L161" s="5" t="s">
        <v>19</v>
      </c>
      <c r="M161" s="7" t="s">
        <v>582</v>
      </c>
      <c r="N161" s="7"/>
      <c r="O161" s="7"/>
      <c r="P161" s="7"/>
      <c r="Q161" s="5" t="s">
        <v>19</v>
      </c>
    </row>
    <row r="162" ht="15.75" customHeight="1">
      <c r="A162" s="5" t="s">
        <v>626</v>
      </c>
      <c r="B162" s="5"/>
      <c r="C162" s="6"/>
      <c r="D162" s="5"/>
      <c r="E162" s="5" t="s">
        <v>19</v>
      </c>
      <c r="F162" s="5"/>
      <c r="G162" s="5" t="s">
        <v>19</v>
      </c>
      <c r="H162" s="5" t="s">
        <v>19</v>
      </c>
      <c r="I162" s="5" t="s">
        <v>19</v>
      </c>
      <c r="J162" s="5"/>
      <c r="K162" s="5" t="s">
        <v>19</v>
      </c>
      <c r="L162" s="5" t="s">
        <v>19</v>
      </c>
      <c r="M162" s="7" t="s">
        <v>627</v>
      </c>
      <c r="N162" s="7"/>
      <c r="O162" s="7"/>
      <c r="P162" s="7"/>
      <c r="Q162" s="5" t="s">
        <v>628</v>
      </c>
    </row>
    <row r="163" ht="15.75" customHeight="1">
      <c r="A163" s="5" t="s">
        <v>629</v>
      </c>
      <c r="B163" s="5"/>
      <c r="C163" s="6"/>
      <c r="D163" s="5"/>
      <c r="E163" s="5" t="s">
        <v>19</v>
      </c>
      <c r="F163" s="5"/>
      <c r="G163" s="5" t="s">
        <v>19</v>
      </c>
      <c r="H163" s="5" t="s">
        <v>19</v>
      </c>
      <c r="I163" s="5" t="s">
        <v>19</v>
      </c>
      <c r="J163" s="5"/>
      <c r="K163" s="5" t="s">
        <v>19</v>
      </c>
      <c r="L163" s="5" t="s">
        <v>19</v>
      </c>
      <c r="M163" s="7" t="s">
        <v>627</v>
      </c>
      <c r="N163" s="7"/>
      <c r="O163" s="7"/>
      <c r="P163" s="7"/>
      <c r="Q163" s="5" t="s">
        <v>630</v>
      </c>
    </row>
    <row r="164" ht="15.75" customHeight="1">
      <c r="A164" s="5" t="s">
        <v>631</v>
      </c>
      <c r="B164" s="5"/>
      <c r="C164" s="6"/>
      <c r="D164" s="5"/>
      <c r="E164" s="5" t="s">
        <v>19</v>
      </c>
      <c r="F164" s="5"/>
      <c r="G164" s="5" t="s">
        <v>19</v>
      </c>
      <c r="H164" s="5" t="s">
        <v>19</v>
      </c>
      <c r="I164" s="5" t="s">
        <v>19</v>
      </c>
      <c r="J164" s="5"/>
      <c r="K164" s="5" t="s">
        <v>19</v>
      </c>
      <c r="L164" s="5" t="s">
        <v>19</v>
      </c>
      <c r="M164" s="7" t="s">
        <v>627</v>
      </c>
      <c r="N164" s="7"/>
      <c r="O164" s="7"/>
      <c r="P164" s="7"/>
      <c r="Q164" s="5" t="s">
        <v>632</v>
      </c>
    </row>
    <row r="165" ht="15.75" customHeight="1">
      <c r="A165" s="5" t="s">
        <v>633</v>
      </c>
      <c r="B165" s="5"/>
      <c r="C165" s="6"/>
      <c r="D165" s="5"/>
      <c r="E165" s="5" t="s">
        <v>19</v>
      </c>
      <c r="F165" s="5"/>
      <c r="G165" s="5" t="s">
        <v>19</v>
      </c>
      <c r="H165" s="5" t="s">
        <v>19</v>
      </c>
      <c r="I165" s="5" t="s">
        <v>19</v>
      </c>
      <c r="J165" s="5"/>
      <c r="K165" s="5" t="s">
        <v>19</v>
      </c>
      <c r="L165" s="5" t="s">
        <v>19</v>
      </c>
      <c r="M165" s="7" t="s">
        <v>627</v>
      </c>
      <c r="N165" s="7"/>
      <c r="O165" s="7"/>
      <c r="P165" s="7"/>
      <c r="Q165" s="5" t="s">
        <v>634</v>
      </c>
    </row>
    <row r="166" ht="15.75" customHeight="1">
      <c r="A166" s="5" t="s">
        <v>635</v>
      </c>
      <c r="B166" s="5"/>
      <c r="C166" s="6"/>
      <c r="D166" s="5"/>
      <c r="E166" s="5" t="s">
        <v>19</v>
      </c>
      <c r="F166" s="5"/>
      <c r="G166" s="5" t="s">
        <v>19</v>
      </c>
      <c r="H166" s="5" t="s">
        <v>19</v>
      </c>
      <c r="I166" s="5" t="s">
        <v>19</v>
      </c>
      <c r="J166" s="5"/>
      <c r="K166" s="5" t="s">
        <v>19</v>
      </c>
      <c r="L166" s="5" t="s">
        <v>19</v>
      </c>
      <c r="M166" s="7" t="s">
        <v>627</v>
      </c>
      <c r="N166" s="7"/>
      <c r="O166" s="7"/>
      <c r="P166" s="7"/>
      <c r="Q166" s="5" t="s">
        <v>636</v>
      </c>
    </row>
    <row r="167" ht="15.75" customHeight="1">
      <c r="A167" s="5" t="s">
        <v>637</v>
      </c>
      <c r="B167" s="5"/>
      <c r="C167" s="6"/>
      <c r="D167" s="5"/>
      <c r="E167" s="5" t="s">
        <v>19</v>
      </c>
      <c r="F167" s="5"/>
      <c r="G167" s="5" t="s">
        <v>19</v>
      </c>
      <c r="H167" s="5" t="s">
        <v>19</v>
      </c>
      <c r="I167" s="5" t="s">
        <v>19</v>
      </c>
      <c r="J167" s="5"/>
      <c r="K167" s="5" t="s">
        <v>19</v>
      </c>
      <c r="L167" s="5" t="s">
        <v>19</v>
      </c>
      <c r="M167" s="7" t="s">
        <v>627</v>
      </c>
      <c r="N167" s="7"/>
      <c r="O167" s="7"/>
      <c r="P167" s="7"/>
      <c r="Q167" s="5" t="s">
        <v>638</v>
      </c>
    </row>
    <row r="168" ht="15.75" customHeight="1">
      <c r="A168" s="5" t="s">
        <v>639</v>
      </c>
      <c r="B168" s="5"/>
      <c r="C168" s="6"/>
      <c r="D168" s="5"/>
      <c r="E168" s="5" t="s">
        <v>19</v>
      </c>
      <c r="F168" s="5"/>
      <c r="G168" s="5" t="s">
        <v>19</v>
      </c>
      <c r="H168" s="5" t="s">
        <v>19</v>
      </c>
      <c r="I168" s="5" t="s">
        <v>19</v>
      </c>
      <c r="J168" s="5"/>
      <c r="K168" s="5" t="s">
        <v>19</v>
      </c>
      <c r="L168" s="5" t="s">
        <v>19</v>
      </c>
      <c r="M168" s="7" t="s">
        <v>627</v>
      </c>
      <c r="N168" s="7"/>
      <c r="O168" s="7"/>
      <c r="P168" s="7"/>
      <c r="Q168" s="5" t="s">
        <v>640</v>
      </c>
    </row>
    <row r="169" ht="15.75" customHeight="1">
      <c r="A169" s="5" t="s">
        <v>641</v>
      </c>
      <c r="B169" s="5"/>
      <c r="C169" s="6"/>
      <c r="D169" s="5"/>
      <c r="E169" s="5" t="s">
        <v>19</v>
      </c>
      <c r="F169" s="5"/>
      <c r="G169" s="5" t="s">
        <v>19</v>
      </c>
      <c r="H169" s="5" t="s">
        <v>19</v>
      </c>
      <c r="I169" s="5" t="s">
        <v>19</v>
      </c>
      <c r="J169" s="5"/>
      <c r="K169" s="5" t="s">
        <v>19</v>
      </c>
      <c r="L169" s="5" t="s">
        <v>19</v>
      </c>
      <c r="M169" s="7" t="s">
        <v>627</v>
      </c>
      <c r="N169" s="7"/>
      <c r="O169" s="7"/>
      <c r="P169" s="7"/>
      <c r="Q169" s="5" t="s">
        <v>642</v>
      </c>
    </row>
    <row r="170" ht="15.75" customHeight="1">
      <c r="A170" s="9"/>
      <c r="B170" s="9"/>
      <c r="C170" s="19"/>
      <c r="D170" s="20"/>
      <c r="E170" s="9"/>
      <c r="F170" s="9"/>
      <c r="G170" s="9"/>
      <c r="H170" s="9"/>
      <c r="I170" s="9"/>
      <c r="J170" s="9"/>
      <c r="K170" s="21"/>
      <c r="L170" s="21"/>
      <c r="M170" s="22"/>
      <c r="N170" s="7"/>
      <c r="O170" s="7"/>
      <c r="P170" s="7"/>
      <c r="Q170" s="9"/>
    </row>
    <row r="171" ht="15.75" customHeight="1">
      <c r="A171" s="5" t="s">
        <v>643</v>
      </c>
      <c r="B171" s="5" t="s">
        <v>644</v>
      </c>
      <c r="C171" s="6"/>
      <c r="D171" s="5"/>
      <c r="E171" s="5" t="s">
        <v>645</v>
      </c>
      <c r="F171" s="5"/>
      <c r="G171" s="5" t="s">
        <v>646</v>
      </c>
      <c r="H171" s="5" t="s">
        <v>19</v>
      </c>
      <c r="I171" s="5" t="s">
        <v>646</v>
      </c>
      <c r="J171" s="5"/>
      <c r="K171" s="5"/>
      <c r="L171" s="5"/>
      <c r="M171" s="7"/>
      <c r="N171" s="7"/>
      <c r="O171" s="7"/>
      <c r="P171" s="7"/>
      <c r="Q171" s="5" t="s">
        <v>19</v>
      </c>
    </row>
    <row r="172" ht="15.75" customHeight="1">
      <c r="A172" s="5" t="s">
        <v>647</v>
      </c>
      <c r="B172" s="5"/>
      <c r="C172" s="6"/>
      <c r="D172" s="5"/>
      <c r="E172" s="5" t="s">
        <v>648</v>
      </c>
      <c r="F172" s="5"/>
      <c r="G172" s="5" t="s">
        <v>648</v>
      </c>
      <c r="H172" s="5" t="s">
        <v>19</v>
      </c>
      <c r="I172" s="5" t="s">
        <v>648</v>
      </c>
      <c r="J172" s="5"/>
      <c r="K172" s="5"/>
      <c r="L172" s="5"/>
      <c r="M172" s="7"/>
      <c r="N172" s="7"/>
      <c r="O172" s="7"/>
      <c r="P172" s="7"/>
      <c r="Q172" s="5" t="s">
        <v>649</v>
      </c>
    </row>
    <row r="173" ht="15.75" customHeight="1">
      <c r="A173" s="5" t="s">
        <v>650</v>
      </c>
      <c r="B173" s="5" t="s">
        <v>651</v>
      </c>
      <c r="C173" s="6"/>
      <c r="D173" s="5"/>
      <c r="E173" s="5" t="s">
        <v>652</v>
      </c>
      <c r="F173" s="5"/>
      <c r="G173" s="5" t="s">
        <v>652</v>
      </c>
      <c r="H173" s="5" t="s">
        <v>19</v>
      </c>
      <c r="I173" s="5" t="s">
        <v>652</v>
      </c>
      <c r="J173" s="5"/>
      <c r="K173" s="5"/>
      <c r="L173" s="5"/>
      <c r="M173" s="7"/>
      <c r="N173" s="7"/>
      <c r="O173" s="7"/>
      <c r="P173" s="7"/>
      <c r="Q173" s="5" t="s">
        <v>19</v>
      </c>
    </row>
    <row r="174" ht="15.75" customHeight="1">
      <c r="A174" s="5" t="s">
        <v>653</v>
      </c>
      <c r="B174" s="5"/>
      <c r="C174" s="6"/>
      <c r="D174" s="5"/>
      <c r="E174" s="5" t="s">
        <v>19</v>
      </c>
      <c r="F174" s="5"/>
      <c r="G174" s="5" t="s">
        <v>654</v>
      </c>
      <c r="H174" s="5" t="s">
        <v>19</v>
      </c>
      <c r="I174" s="5" t="s">
        <v>654</v>
      </c>
      <c r="J174" s="5"/>
      <c r="K174" s="5"/>
      <c r="L174" s="5"/>
      <c r="M174" s="7" t="s">
        <v>655</v>
      </c>
      <c r="N174" s="7"/>
      <c r="O174" s="7"/>
      <c r="P174" s="7"/>
      <c r="Q174" s="5" t="s">
        <v>19</v>
      </c>
    </row>
    <row r="175" ht="15.75" customHeight="1">
      <c r="A175" s="5" t="s">
        <v>656</v>
      </c>
      <c r="B175" s="5"/>
      <c r="C175" s="6"/>
      <c r="D175" s="5"/>
      <c r="E175" s="5" t="s">
        <v>657</v>
      </c>
      <c r="F175" s="5"/>
      <c r="G175" s="5" t="s">
        <v>658</v>
      </c>
      <c r="H175" s="5" t="s">
        <v>19</v>
      </c>
      <c r="I175" s="5" t="s">
        <v>658</v>
      </c>
      <c r="J175" s="5"/>
      <c r="K175" s="5"/>
      <c r="L175" s="5"/>
      <c r="M175" s="7" t="s">
        <v>655</v>
      </c>
      <c r="N175" s="7"/>
      <c r="O175" s="7"/>
      <c r="P175" s="7"/>
      <c r="Q175" s="5" t="s">
        <v>19</v>
      </c>
    </row>
    <row r="176" ht="15.75" customHeight="1">
      <c r="A176" s="5" t="s">
        <v>659</v>
      </c>
      <c r="B176" s="5"/>
      <c r="C176" s="6"/>
      <c r="D176" s="5"/>
      <c r="E176" s="5" t="s">
        <v>19</v>
      </c>
      <c r="F176" s="5"/>
      <c r="G176" s="5" t="s">
        <v>19</v>
      </c>
      <c r="H176" s="5" t="s">
        <v>19</v>
      </c>
      <c r="I176" s="5" t="s">
        <v>19</v>
      </c>
      <c r="J176" s="14" t="s">
        <v>660</v>
      </c>
      <c r="K176" s="14"/>
      <c r="L176" s="14"/>
      <c r="M176" s="7" t="s">
        <v>655</v>
      </c>
      <c r="N176" s="7"/>
      <c r="O176" s="7"/>
      <c r="P176" s="7"/>
      <c r="Q176" s="5" t="s">
        <v>660</v>
      </c>
    </row>
    <row r="177" ht="15.75" customHeight="1">
      <c r="A177" s="5" t="s">
        <v>661</v>
      </c>
      <c r="B177" s="5"/>
      <c r="C177" s="6"/>
      <c r="D177" s="5"/>
      <c r="E177" s="5" t="s">
        <v>662</v>
      </c>
      <c r="F177" s="5"/>
      <c r="G177" s="5" t="s">
        <v>662</v>
      </c>
      <c r="H177" s="5" t="s">
        <v>19</v>
      </c>
      <c r="I177" s="5" t="s">
        <v>662</v>
      </c>
      <c r="J177" s="5"/>
      <c r="K177" s="5"/>
      <c r="L177" s="5"/>
      <c r="M177" s="7"/>
      <c r="N177" s="7"/>
      <c r="O177" s="7"/>
      <c r="P177" s="7"/>
      <c r="Q177" s="5" t="s">
        <v>19</v>
      </c>
    </row>
    <row r="178" ht="15.75" customHeight="1">
      <c r="A178" s="5" t="s">
        <v>663</v>
      </c>
      <c r="B178" s="5"/>
      <c r="C178" s="6"/>
      <c r="D178" s="5"/>
      <c r="E178" s="5" t="s">
        <v>664</v>
      </c>
      <c r="F178" s="5"/>
      <c r="G178" s="5" t="s">
        <v>664</v>
      </c>
      <c r="H178" s="5" t="s">
        <v>19</v>
      </c>
      <c r="I178" s="5" t="s">
        <v>664</v>
      </c>
      <c r="J178" s="5"/>
      <c r="K178" s="5"/>
      <c r="L178" s="5"/>
      <c r="M178" s="7"/>
      <c r="N178" s="7"/>
      <c r="O178" s="7"/>
      <c r="P178" s="7"/>
      <c r="Q178" s="5" t="s">
        <v>19</v>
      </c>
    </row>
    <row r="179" ht="15.75" customHeight="1">
      <c r="A179" s="5" t="s">
        <v>665</v>
      </c>
      <c r="B179" s="5" t="s">
        <v>666</v>
      </c>
      <c r="C179" s="6" t="s">
        <v>667</v>
      </c>
      <c r="D179" s="5"/>
      <c r="E179" s="5" t="s">
        <v>668</v>
      </c>
      <c r="F179" s="5"/>
      <c r="G179" s="5" t="s">
        <v>668</v>
      </c>
      <c r="H179" s="5" t="s">
        <v>19</v>
      </c>
      <c r="I179" s="5" t="s">
        <v>668</v>
      </c>
      <c r="J179" s="5"/>
      <c r="K179" s="5"/>
      <c r="L179" s="5"/>
      <c r="M179" s="7"/>
      <c r="N179" s="7"/>
      <c r="O179" s="7"/>
      <c r="P179" s="7"/>
      <c r="Q179" s="5" t="s">
        <v>668</v>
      </c>
    </row>
    <row r="180" ht="15.75" customHeight="1">
      <c r="A180" s="5" t="s">
        <v>669</v>
      </c>
      <c r="B180" s="5"/>
      <c r="C180" s="6"/>
      <c r="D180" s="5"/>
      <c r="E180" s="5" t="s">
        <v>19</v>
      </c>
      <c r="F180" s="5"/>
      <c r="G180" s="5" t="s">
        <v>19</v>
      </c>
      <c r="H180" s="5" t="s">
        <v>19</v>
      </c>
      <c r="I180" s="5" t="s">
        <v>669</v>
      </c>
      <c r="J180" s="5"/>
      <c r="K180" s="5"/>
      <c r="L180" s="5"/>
      <c r="M180" s="7"/>
      <c r="N180" s="7"/>
      <c r="O180" s="7"/>
      <c r="P180" s="7"/>
      <c r="Q180" s="5" t="s">
        <v>19</v>
      </c>
    </row>
    <row r="181" ht="15.75" customHeight="1">
      <c r="A181" s="5" t="s">
        <v>670</v>
      </c>
      <c r="B181" s="5" t="s">
        <v>671</v>
      </c>
      <c r="C181" s="6"/>
      <c r="D181" s="5"/>
      <c r="E181" s="5" t="s">
        <v>672</v>
      </c>
      <c r="F181" s="5"/>
      <c r="G181" s="5" t="s">
        <v>672</v>
      </c>
      <c r="H181" s="5" t="s">
        <v>19</v>
      </c>
      <c r="I181" s="5" t="s">
        <v>672</v>
      </c>
      <c r="J181" s="5"/>
      <c r="K181" s="5"/>
      <c r="L181" s="5"/>
      <c r="M181" s="7"/>
      <c r="N181" s="7"/>
      <c r="O181" s="7"/>
      <c r="P181" s="7"/>
      <c r="Q181" s="5" t="s">
        <v>672</v>
      </c>
    </row>
    <row r="182" ht="15.75" customHeight="1">
      <c r="A182" s="5" t="s">
        <v>673</v>
      </c>
      <c r="B182" s="5"/>
      <c r="C182" s="6"/>
      <c r="D182" s="5"/>
      <c r="E182" s="5" t="s">
        <v>19</v>
      </c>
      <c r="F182" s="5"/>
      <c r="G182" s="5" t="s">
        <v>19</v>
      </c>
      <c r="H182" s="5" t="s">
        <v>19</v>
      </c>
      <c r="I182" s="5" t="s">
        <v>19</v>
      </c>
      <c r="J182" s="5"/>
      <c r="K182" s="5"/>
      <c r="L182" s="5"/>
      <c r="M182" s="7"/>
      <c r="N182" s="7"/>
      <c r="O182" s="7"/>
      <c r="P182" s="7"/>
      <c r="Q182" s="5" t="s">
        <v>674</v>
      </c>
    </row>
    <row r="183" ht="15.75" customHeight="1">
      <c r="A183" s="5" t="s">
        <v>675</v>
      </c>
      <c r="B183" s="5"/>
      <c r="C183" s="6"/>
      <c r="D183" s="5"/>
      <c r="E183" s="5" t="s">
        <v>676</v>
      </c>
      <c r="F183" s="5"/>
      <c r="G183" s="5" t="s">
        <v>677</v>
      </c>
      <c r="H183" s="5" t="s">
        <v>19</v>
      </c>
      <c r="I183" s="5" t="s">
        <v>677</v>
      </c>
      <c r="J183" s="5"/>
      <c r="K183" s="5"/>
      <c r="L183" s="5"/>
      <c r="M183" s="7"/>
      <c r="N183" s="7"/>
      <c r="O183" s="7"/>
      <c r="P183" s="7"/>
      <c r="Q183" s="5" t="s">
        <v>19</v>
      </c>
    </row>
    <row r="184" ht="15.75" customHeight="1">
      <c r="A184" s="5" t="s">
        <v>678</v>
      </c>
      <c r="B184" s="5"/>
      <c r="C184" s="6"/>
      <c r="D184" s="5"/>
      <c r="E184" s="5" t="s">
        <v>679</v>
      </c>
      <c r="F184" s="5"/>
      <c r="G184" s="5" t="s">
        <v>19</v>
      </c>
      <c r="H184" s="5" t="s">
        <v>19</v>
      </c>
      <c r="I184" s="5" t="s">
        <v>19</v>
      </c>
      <c r="J184" s="5"/>
      <c r="K184" s="5"/>
      <c r="L184" s="5"/>
      <c r="M184" s="7"/>
      <c r="N184" s="7"/>
      <c r="O184" s="7"/>
      <c r="P184" s="7"/>
      <c r="Q184" s="5" t="s">
        <v>19</v>
      </c>
    </row>
    <row r="185" ht="15.75" customHeight="1">
      <c r="A185" s="5" t="s">
        <v>680</v>
      </c>
      <c r="B185" s="5"/>
      <c r="C185" s="6"/>
      <c r="D185" s="5"/>
      <c r="E185" s="5" t="s">
        <v>681</v>
      </c>
      <c r="F185" s="5"/>
      <c r="G185" s="5" t="s">
        <v>19</v>
      </c>
      <c r="H185" s="5" t="s">
        <v>19</v>
      </c>
      <c r="I185" s="5" t="s">
        <v>19</v>
      </c>
      <c r="J185" s="5"/>
      <c r="K185" s="5"/>
      <c r="L185" s="5"/>
      <c r="M185" s="7"/>
      <c r="N185" s="7"/>
      <c r="O185" s="7"/>
      <c r="P185" s="7"/>
      <c r="Q185" s="5" t="s">
        <v>19</v>
      </c>
    </row>
    <row r="186" ht="15.75" customHeight="1">
      <c r="A186" s="5" t="s">
        <v>682</v>
      </c>
      <c r="B186" s="5"/>
      <c r="C186" s="6"/>
      <c r="D186" s="5"/>
      <c r="E186" s="5" t="s">
        <v>19</v>
      </c>
      <c r="F186" s="5"/>
      <c r="G186" s="5" t="s">
        <v>19</v>
      </c>
      <c r="H186" s="5" t="s">
        <v>19</v>
      </c>
      <c r="I186" s="5" t="s">
        <v>683</v>
      </c>
      <c r="J186" s="5"/>
      <c r="K186" s="5"/>
      <c r="L186" s="5"/>
      <c r="M186" s="7"/>
      <c r="N186" s="7"/>
      <c r="O186" s="7"/>
      <c r="P186" s="7"/>
      <c r="Q186" s="5" t="s">
        <v>19</v>
      </c>
    </row>
    <row r="187" ht="15.75" customHeight="1">
      <c r="A187" s="5" t="s">
        <v>684</v>
      </c>
      <c r="B187" s="5"/>
      <c r="C187" s="6"/>
      <c r="D187" s="5"/>
      <c r="E187" s="5" t="s">
        <v>19</v>
      </c>
      <c r="F187" s="5"/>
      <c r="G187" s="5" t="s">
        <v>19</v>
      </c>
      <c r="H187" s="5" t="s">
        <v>19</v>
      </c>
      <c r="I187" s="5" t="s">
        <v>685</v>
      </c>
      <c r="J187" s="5"/>
      <c r="K187" s="5"/>
      <c r="L187" s="5"/>
      <c r="M187" s="7"/>
      <c r="N187" s="7"/>
      <c r="O187" s="7"/>
      <c r="P187" s="7"/>
      <c r="Q187" s="5" t="s">
        <v>19</v>
      </c>
    </row>
    <row r="188" ht="15.75" customHeight="1">
      <c r="A188" s="5" t="s">
        <v>686</v>
      </c>
      <c r="B188" s="5"/>
      <c r="C188" s="6"/>
      <c r="D188" s="5"/>
      <c r="E188" s="5" t="s">
        <v>687</v>
      </c>
      <c r="F188" s="5"/>
      <c r="G188" s="5" t="s">
        <v>687</v>
      </c>
      <c r="H188" s="5" t="s">
        <v>19</v>
      </c>
      <c r="I188" s="5" t="s">
        <v>19</v>
      </c>
      <c r="J188" s="5"/>
      <c r="K188" s="5"/>
      <c r="L188" s="5"/>
      <c r="M188" s="7"/>
      <c r="N188" s="7"/>
      <c r="O188" s="7"/>
      <c r="P188" s="7"/>
      <c r="Q188" s="5" t="s">
        <v>19</v>
      </c>
    </row>
    <row r="189" ht="15.75" customHeight="1">
      <c r="A189" s="5" t="s">
        <v>688</v>
      </c>
      <c r="B189" s="5"/>
      <c r="C189" s="6"/>
      <c r="D189" s="5"/>
      <c r="E189" s="5" t="s">
        <v>689</v>
      </c>
      <c r="F189" s="5"/>
      <c r="G189" s="5" t="s">
        <v>689</v>
      </c>
      <c r="H189" s="5" t="s">
        <v>19</v>
      </c>
      <c r="I189" s="5" t="s">
        <v>19</v>
      </c>
      <c r="J189" s="5"/>
      <c r="K189" s="5"/>
      <c r="L189" s="5"/>
      <c r="M189" s="7"/>
      <c r="N189" s="7"/>
      <c r="O189" s="7"/>
      <c r="P189" s="7"/>
      <c r="Q189" s="5" t="s">
        <v>690</v>
      </c>
    </row>
    <row r="190" ht="15.75" customHeight="1">
      <c r="A190" s="5" t="s">
        <v>691</v>
      </c>
      <c r="B190" s="5"/>
      <c r="C190" s="6"/>
      <c r="D190" s="5"/>
      <c r="E190" s="5" t="s">
        <v>19</v>
      </c>
      <c r="F190" s="5"/>
      <c r="G190" s="5" t="s">
        <v>19</v>
      </c>
      <c r="H190" s="5" t="s">
        <v>19</v>
      </c>
      <c r="I190" s="5" t="s">
        <v>692</v>
      </c>
      <c r="J190" s="5"/>
      <c r="K190" s="5"/>
      <c r="L190" s="5"/>
      <c r="M190" s="7"/>
      <c r="N190" s="7"/>
      <c r="O190" s="7"/>
      <c r="P190" s="7"/>
      <c r="Q190" s="5" t="s">
        <v>19</v>
      </c>
    </row>
    <row r="191" ht="15.75" customHeight="1">
      <c r="A191" s="5" t="s">
        <v>693</v>
      </c>
      <c r="B191" s="5"/>
      <c r="C191" s="6"/>
      <c r="D191" s="5"/>
      <c r="E191" s="5" t="s">
        <v>694</v>
      </c>
      <c r="F191" s="5"/>
      <c r="G191" s="5" t="s">
        <v>694</v>
      </c>
      <c r="H191" s="5" t="s">
        <v>19</v>
      </c>
      <c r="I191" s="5" t="s">
        <v>694</v>
      </c>
      <c r="J191" s="5"/>
      <c r="K191" s="5"/>
      <c r="L191" s="5"/>
      <c r="M191" s="7"/>
      <c r="N191" s="7"/>
      <c r="O191" s="7"/>
      <c r="P191" s="7"/>
      <c r="Q191" s="5" t="s">
        <v>19</v>
      </c>
    </row>
    <row r="192" ht="15.75" customHeight="1">
      <c r="A192" s="5" t="s">
        <v>695</v>
      </c>
      <c r="B192" s="5" t="s">
        <v>696</v>
      </c>
      <c r="C192" s="6"/>
      <c r="D192" s="5"/>
      <c r="E192" s="5" t="s">
        <v>697</v>
      </c>
      <c r="F192" s="5"/>
      <c r="G192" s="5" t="s">
        <v>697</v>
      </c>
      <c r="H192" s="5" t="s">
        <v>19</v>
      </c>
      <c r="I192" s="5" t="s">
        <v>19</v>
      </c>
      <c r="J192" s="5"/>
      <c r="K192" s="5"/>
      <c r="L192" s="5"/>
      <c r="M192" s="7"/>
      <c r="N192" s="7"/>
      <c r="O192" s="7"/>
      <c r="P192" s="7"/>
      <c r="Q192" s="5" t="s">
        <v>698</v>
      </c>
    </row>
    <row r="193" ht="15.75" customHeight="1">
      <c r="A193" s="5" t="s">
        <v>699</v>
      </c>
      <c r="B193" s="5" t="s">
        <v>700</v>
      </c>
      <c r="C193" s="6" t="s">
        <v>701</v>
      </c>
      <c r="D193" s="5"/>
      <c r="E193" s="5" t="s">
        <v>702</v>
      </c>
      <c r="F193" s="5"/>
      <c r="G193" s="5" t="s">
        <v>702</v>
      </c>
      <c r="H193" s="5" t="s">
        <v>19</v>
      </c>
      <c r="I193" s="5" t="s">
        <v>702</v>
      </c>
      <c r="J193" s="5"/>
      <c r="K193" s="5"/>
      <c r="L193" s="5"/>
      <c r="M193" s="7"/>
      <c r="N193" s="7"/>
      <c r="O193" s="7"/>
      <c r="P193" s="7"/>
      <c r="Q193" s="5" t="s">
        <v>703</v>
      </c>
    </row>
    <row r="194" ht="15.75" customHeight="1">
      <c r="A194" s="5" t="s">
        <v>704</v>
      </c>
      <c r="B194" s="5" t="s">
        <v>705</v>
      </c>
      <c r="C194" s="6" t="s">
        <v>706</v>
      </c>
      <c r="D194" s="5"/>
      <c r="E194" s="5" t="s">
        <v>707</v>
      </c>
      <c r="F194" s="5"/>
      <c r="G194" s="5" t="s">
        <v>707</v>
      </c>
      <c r="H194" s="5" t="s">
        <v>19</v>
      </c>
      <c r="I194" s="5" t="s">
        <v>708</v>
      </c>
      <c r="J194" s="5"/>
      <c r="K194" s="5"/>
      <c r="L194" s="5"/>
      <c r="M194" s="7"/>
      <c r="N194" s="7"/>
      <c r="O194" s="7"/>
      <c r="P194" s="7"/>
      <c r="Q194" s="5" t="s">
        <v>709</v>
      </c>
    </row>
    <row r="195" ht="15.75" customHeight="1">
      <c r="A195" s="5" t="s">
        <v>710</v>
      </c>
      <c r="B195" s="5"/>
      <c r="C195" s="6"/>
      <c r="D195" s="5"/>
      <c r="E195" s="5" t="s">
        <v>19</v>
      </c>
      <c r="F195" s="5"/>
      <c r="G195" s="5" t="s">
        <v>19</v>
      </c>
      <c r="H195" s="5" t="s">
        <v>19</v>
      </c>
      <c r="I195" s="5" t="s">
        <v>697</v>
      </c>
      <c r="J195" s="5"/>
      <c r="K195" s="5"/>
      <c r="L195" s="5"/>
      <c r="M195" s="7"/>
      <c r="N195" s="7"/>
      <c r="O195" s="7"/>
      <c r="P195" s="7"/>
      <c r="Q195" s="5" t="s">
        <v>19</v>
      </c>
    </row>
    <row r="196" ht="15.75" customHeight="1">
      <c r="A196" s="5" t="s">
        <v>711</v>
      </c>
      <c r="B196" s="5"/>
      <c r="C196" s="6"/>
      <c r="D196" s="5"/>
      <c r="E196" s="5" t="s">
        <v>19</v>
      </c>
      <c r="F196" s="5"/>
      <c r="G196" s="5" t="s">
        <v>19</v>
      </c>
      <c r="H196" s="5" t="s">
        <v>19</v>
      </c>
      <c r="I196" s="5" t="s">
        <v>707</v>
      </c>
      <c r="J196" s="5"/>
      <c r="K196" s="5"/>
      <c r="L196" s="5"/>
      <c r="M196" s="7"/>
      <c r="N196" s="7"/>
      <c r="O196" s="7"/>
      <c r="P196" s="7"/>
      <c r="Q196" s="5" t="s">
        <v>19</v>
      </c>
    </row>
    <row r="197" ht="15.75" customHeight="1">
      <c r="A197" s="5" t="s">
        <v>712</v>
      </c>
      <c r="B197" s="5"/>
      <c r="C197" s="6"/>
      <c r="D197" s="5"/>
      <c r="E197" s="5" t="s">
        <v>19</v>
      </c>
      <c r="F197" s="5"/>
      <c r="G197" s="5" t="s">
        <v>19</v>
      </c>
      <c r="H197" s="5" t="s">
        <v>19</v>
      </c>
      <c r="I197" s="5" t="s">
        <v>713</v>
      </c>
      <c r="J197" s="5"/>
      <c r="K197" s="5"/>
      <c r="L197" s="5"/>
      <c r="M197" s="7"/>
      <c r="N197" s="7"/>
      <c r="O197" s="7"/>
      <c r="P197" s="7"/>
      <c r="Q197" s="5" t="s">
        <v>19</v>
      </c>
    </row>
    <row r="198" ht="15.75" customHeight="1">
      <c r="A198" s="5" t="s">
        <v>714</v>
      </c>
      <c r="B198" s="5"/>
      <c r="C198" s="6"/>
      <c r="D198" s="5"/>
      <c r="E198" s="5" t="s">
        <v>19</v>
      </c>
      <c r="F198" s="5"/>
      <c r="G198" s="5" t="s">
        <v>19</v>
      </c>
      <c r="H198" s="5" t="s">
        <v>19</v>
      </c>
      <c r="I198" s="5" t="s">
        <v>715</v>
      </c>
      <c r="J198" s="5"/>
      <c r="K198" s="5"/>
      <c r="L198" s="5"/>
      <c r="M198" s="7"/>
      <c r="N198" s="7"/>
      <c r="O198" s="7"/>
      <c r="P198" s="7"/>
      <c r="Q198" s="5" t="s">
        <v>716</v>
      </c>
    </row>
    <row r="199" ht="15.75" customHeight="1">
      <c r="A199" s="5" t="s">
        <v>717</v>
      </c>
      <c r="B199" s="5"/>
      <c r="C199" s="6"/>
      <c r="D199" s="5"/>
      <c r="E199" s="5" t="s">
        <v>718</v>
      </c>
      <c r="F199" s="5"/>
      <c r="G199" s="5" t="s">
        <v>19</v>
      </c>
      <c r="H199" s="5" t="s">
        <v>19</v>
      </c>
      <c r="I199" s="5" t="s">
        <v>19</v>
      </c>
      <c r="J199" s="5"/>
      <c r="K199" s="5"/>
      <c r="L199" s="5"/>
      <c r="M199" s="7"/>
      <c r="N199" s="7"/>
      <c r="O199" s="7"/>
      <c r="P199" s="7"/>
      <c r="Q199" s="5" t="s">
        <v>19</v>
      </c>
    </row>
    <row r="200" ht="15.75" customHeight="1">
      <c r="A200" s="5" t="s">
        <v>719</v>
      </c>
      <c r="B200" s="5"/>
      <c r="C200" s="6"/>
      <c r="D200" s="5"/>
      <c r="E200" s="5" t="s">
        <v>720</v>
      </c>
      <c r="F200" s="5"/>
      <c r="G200" s="5" t="s">
        <v>720</v>
      </c>
      <c r="H200" s="5" t="s">
        <v>19</v>
      </c>
      <c r="I200" s="5" t="s">
        <v>720</v>
      </c>
      <c r="J200" s="5"/>
      <c r="K200" s="5"/>
      <c r="L200" s="5"/>
      <c r="M200" s="7"/>
      <c r="N200" s="7"/>
      <c r="O200" s="7"/>
      <c r="P200" s="7"/>
      <c r="Q200" s="5" t="s">
        <v>19</v>
      </c>
    </row>
    <row r="201" ht="15.75" customHeight="1">
      <c r="A201" s="9"/>
      <c r="B201" s="9"/>
      <c r="C201" s="19"/>
      <c r="D201" s="20"/>
      <c r="E201" s="9"/>
      <c r="F201" s="9"/>
      <c r="G201" s="9"/>
      <c r="H201" s="5" t="s">
        <v>19</v>
      </c>
      <c r="I201" s="9"/>
      <c r="J201" s="9"/>
      <c r="K201" s="21"/>
      <c r="L201" s="21"/>
      <c r="M201" s="22"/>
      <c r="N201" s="7"/>
      <c r="O201" s="7"/>
      <c r="P201" s="7"/>
      <c r="Q201" s="9"/>
    </row>
    <row r="202" ht="15.75" customHeight="1">
      <c r="A202" s="5" t="s">
        <v>721</v>
      </c>
      <c r="B202" s="5"/>
      <c r="C202" s="6"/>
      <c r="D202" s="5"/>
      <c r="E202" s="5" t="s">
        <v>722</v>
      </c>
      <c r="F202" s="5"/>
      <c r="G202" s="5" t="s">
        <v>19</v>
      </c>
      <c r="H202" s="5" t="s">
        <v>19</v>
      </c>
      <c r="I202" s="5" t="s">
        <v>722</v>
      </c>
      <c r="J202" s="5"/>
      <c r="K202" s="5"/>
      <c r="L202" s="5"/>
      <c r="M202" s="7"/>
      <c r="N202" s="7"/>
      <c r="O202" s="7"/>
      <c r="P202" s="7"/>
      <c r="Q202" s="5" t="s">
        <v>19</v>
      </c>
    </row>
    <row r="203" ht="15.75" customHeight="1">
      <c r="A203" s="5" t="s">
        <v>723</v>
      </c>
      <c r="B203" s="5"/>
      <c r="C203" s="6"/>
      <c r="D203" s="5"/>
      <c r="E203" s="5" t="s">
        <v>724</v>
      </c>
      <c r="F203" s="5"/>
      <c r="G203" s="5" t="s">
        <v>724</v>
      </c>
      <c r="H203" s="5" t="s">
        <v>19</v>
      </c>
      <c r="I203" s="5" t="s">
        <v>724</v>
      </c>
      <c r="J203" s="5"/>
      <c r="K203" s="5"/>
      <c r="L203" s="5"/>
      <c r="M203" s="7"/>
      <c r="N203" s="7"/>
      <c r="O203" s="7"/>
      <c r="P203" s="7"/>
      <c r="Q203" s="5" t="s">
        <v>19</v>
      </c>
    </row>
    <row r="204" ht="15.75" customHeight="1">
      <c r="A204" s="5" t="s">
        <v>725</v>
      </c>
      <c r="B204" s="5"/>
      <c r="C204" s="6"/>
      <c r="D204" s="5"/>
      <c r="E204" s="5" t="s">
        <v>726</v>
      </c>
      <c r="F204" s="5"/>
      <c r="G204" s="5" t="s">
        <v>726</v>
      </c>
      <c r="H204" s="5" t="s">
        <v>19</v>
      </c>
      <c r="I204" s="5" t="s">
        <v>726</v>
      </c>
      <c r="J204" s="5"/>
      <c r="K204" s="5"/>
      <c r="L204" s="5"/>
      <c r="M204" s="7"/>
      <c r="N204" s="7"/>
      <c r="O204" s="7"/>
      <c r="P204" s="7"/>
      <c r="Q204" s="5" t="s">
        <v>19</v>
      </c>
    </row>
    <row r="205" ht="15.75" customHeight="1">
      <c r="A205" s="5" t="s">
        <v>727</v>
      </c>
      <c r="B205" s="5"/>
      <c r="C205" s="6"/>
      <c r="D205" s="5"/>
      <c r="E205" s="5" t="s">
        <v>728</v>
      </c>
      <c r="F205" s="5"/>
      <c r="G205" s="5" t="s">
        <v>728</v>
      </c>
      <c r="H205" s="5" t="s">
        <v>19</v>
      </c>
      <c r="I205" s="5" t="s">
        <v>728</v>
      </c>
      <c r="J205" s="5"/>
      <c r="K205" s="5"/>
      <c r="L205" s="5"/>
      <c r="M205" s="7"/>
      <c r="N205" s="7"/>
      <c r="O205" s="7"/>
      <c r="P205" s="7"/>
      <c r="Q205" s="5" t="s">
        <v>19</v>
      </c>
    </row>
    <row r="206" ht="15.75" customHeight="1">
      <c r="A206" s="5" t="s">
        <v>729</v>
      </c>
      <c r="B206" s="5"/>
      <c r="C206" s="6"/>
      <c r="D206" s="5"/>
      <c r="E206" s="5" t="s">
        <v>729</v>
      </c>
      <c r="F206" s="5"/>
      <c r="G206" s="5" t="s">
        <v>729</v>
      </c>
      <c r="H206" s="5" t="s">
        <v>19</v>
      </c>
      <c r="I206" s="5" t="s">
        <v>19</v>
      </c>
      <c r="J206" s="5"/>
      <c r="K206" s="5"/>
      <c r="L206" s="5"/>
      <c r="M206" s="7"/>
      <c r="N206" s="7"/>
      <c r="O206" s="7"/>
      <c r="P206" s="7"/>
      <c r="Q206" s="5" t="s">
        <v>19</v>
      </c>
    </row>
    <row r="207" ht="15.75" customHeight="1">
      <c r="A207" s="5" t="s">
        <v>730</v>
      </c>
      <c r="B207" s="5"/>
      <c r="C207" s="6"/>
      <c r="D207" s="5"/>
      <c r="E207" s="5" t="s">
        <v>730</v>
      </c>
      <c r="F207" s="5"/>
      <c r="G207" s="5" t="s">
        <v>19</v>
      </c>
      <c r="H207" s="5" t="s">
        <v>19</v>
      </c>
      <c r="I207" s="5" t="s">
        <v>730</v>
      </c>
      <c r="J207" s="5"/>
      <c r="K207" s="5"/>
      <c r="L207" s="5"/>
      <c r="M207" s="7"/>
      <c r="N207" s="7"/>
      <c r="O207" s="7"/>
      <c r="P207" s="7"/>
      <c r="Q207" s="5" t="s">
        <v>19</v>
      </c>
    </row>
    <row r="208" ht="15.75" customHeight="1">
      <c r="A208" s="5" t="s">
        <v>731</v>
      </c>
      <c r="B208" s="5"/>
      <c r="C208" s="6"/>
      <c r="D208" s="5"/>
      <c r="E208" s="5" t="s">
        <v>732</v>
      </c>
      <c r="F208" s="5"/>
      <c r="G208" s="5" t="s">
        <v>732</v>
      </c>
      <c r="H208" s="5" t="s">
        <v>19</v>
      </c>
      <c r="I208" s="5" t="s">
        <v>732</v>
      </c>
      <c r="J208" s="5"/>
      <c r="K208" s="5"/>
      <c r="L208" s="5"/>
      <c r="M208" s="7"/>
      <c r="N208" s="7"/>
      <c r="O208" s="7"/>
      <c r="P208" s="7"/>
      <c r="Q208" s="5" t="s">
        <v>19</v>
      </c>
    </row>
    <row r="209" ht="15.75" customHeight="1">
      <c r="A209" s="5" t="s">
        <v>733</v>
      </c>
      <c r="B209" s="5"/>
      <c r="C209" s="6"/>
      <c r="D209" s="5"/>
      <c r="E209" s="5" t="s">
        <v>734</v>
      </c>
      <c r="F209" s="5"/>
      <c r="G209" s="5" t="s">
        <v>19</v>
      </c>
      <c r="H209" s="5" t="s">
        <v>19</v>
      </c>
      <c r="I209" s="5" t="s">
        <v>19</v>
      </c>
      <c r="J209" s="5"/>
      <c r="K209" s="5"/>
      <c r="L209" s="5"/>
      <c r="M209" s="7"/>
      <c r="N209" s="7"/>
      <c r="O209" s="7"/>
      <c r="P209" s="7"/>
      <c r="Q209" s="5" t="s">
        <v>19</v>
      </c>
    </row>
    <row r="210" ht="15.75" customHeight="1">
      <c r="A210" s="5" t="s">
        <v>735</v>
      </c>
      <c r="B210" s="5"/>
      <c r="C210" s="6"/>
      <c r="D210" s="5"/>
      <c r="E210" s="5" t="s">
        <v>736</v>
      </c>
      <c r="F210" s="5"/>
      <c r="G210" s="5" t="s">
        <v>19</v>
      </c>
      <c r="H210" s="5" t="s">
        <v>19</v>
      </c>
      <c r="I210" s="5" t="s">
        <v>19</v>
      </c>
      <c r="J210" s="5"/>
      <c r="K210" s="5"/>
      <c r="L210" s="5"/>
      <c r="M210" s="7"/>
      <c r="N210" s="7"/>
      <c r="O210" s="7"/>
      <c r="P210" s="7"/>
      <c r="Q210" s="5" t="s">
        <v>19</v>
      </c>
    </row>
    <row r="211" ht="15.75" customHeight="1">
      <c r="A211" s="5" t="s">
        <v>737</v>
      </c>
      <c r="B211" s="5"/>
      <c r="C211" s="6"/>
      <c r="D211" s="5"/>
      <c r="E211" s="5" t="s">
        <v>738</v>
      </c>
      <c r="F211" s="5"/>
      <c r="G211" s="5" t="s">
        <v>19</v>
      </c>
      <c r="H211" s="5" t="s">
        <v>19</v>
      </c>
      <c r="I211" s="5" t="s">
        <v>19</v>
      </c>
      <c r="J211" s="5"/>
      <c r="K211" s="5"/>
      <c r="L211" s="5"/>
      <c r="M211" s="7"/>
      <c r="N211" s="7"/>
      <c r="O211" s="7"/>
      <c r="P211" s="7"/>
      <c r="Q211" s="5" t="s">
        <v>19</v>
      </c>
    </row>
    <row r="212" ht="15.75" customHeight="1">
      <c r="A212" s="5" t="s">
        <v>739</v>
      </c>
      <c r="B212" s="5"/>
      <c r="C212" s="6"/>
      <c r="D212" s="5"/>
      <c r="E212" s="5" t="s">
        <v>740</v>
      </c>
      <c r="F212" s="5"/>
      <c r="G212" s="5" t="s">
        <v>19</v>
      </c>
      <c r="H212" s="5" t="s">
        <v>19</v>
      </c>
      <c r="I212" s="5" t="s">
        <v>19</v>
      </c>
      <c r="J212" s="5"/>
      <c r="K212" s="5"/>
      <c r="L212" s="5"/>
      <c r="M212" s="7"/>
      <c r="N212" s="7"/>
      <c r="O212" s="7"/>
      <c r="P212" s="7"/>
      <c r="Q212" s="5" t="s">
        <v>19</v>
      </c>
    </row>
    <row r="213" ht="15.75" customHeight="1">
      <c r="A213" s="9"/>
      <c r="B213" s="9"/>
      <c r="C213" s="19"/>
      <c r="D213" s="20"/>
      <c r="E213" s="9"/>
      <c r="F213" s="9"/>
      <c r="G213" s="9"/>
      <c r="H213" s="5" t="s">
        <v>19</v>
      </c>
      <c r="I213" s="9"/>
      <c r="J213" s="9"/>
      <c r="K213" s="21"/>
      <c r="L213" s="21"/>
      <c r="M213" s="22"/>
      <c r="N213" s="7"/>
      <c r="O213" s="7"/>
      <c r="P213" s="7"/>
      <c r="Q213" s="9"/>
    </row>
    <row r="214" ht="15.75" customHeight="1">
      <c r="A214" s="5" t="s">
        <v>741</v>
      </c>
      <c r="B214" s="5"/>
      <c r="C214" s="6"/>
      <c r="D214" s="5"/>
      <c r="E214" s="5" t="s">
        <v>742</v>
      </c>
      <c r="F214" s="5"/>
      <c r="G214" s="5" t="s">
        <v>19</v>
      </c>
      <c r="H214" s="5" t="s">
        <v>19</v>
      </c>
      <c r="I214" s="5" t="s">
        <v>19</v>
      </c>
      <c r="J214" s="5"/>
      <c r="K214" s="5"/>
      <c r="L214" s="5"/>
      <c r="M214" s="7"/>
      <c r="N214" s="7"/>
      <c r="O214" s="7"/>
      <c r="P214" s="7"/>
      <c r="Q214" s="5" t="s">
        <v>19</v>
      </c>
    </row>
    <row r="215" ht="15.75" customHeight="1">
      <c r="A215" s="5" t="s">
        <v>743</v>
      </c>
      <c r="B215" s="5"/>
      <c r="C215" s="6"/>
      <c r="D215" s="5"/>
      <c r="E215" s="5" t="s">
        <v>744</v>
      </c>
      <c r="F215" s="5"/>
      <c r="G215" s="5" t="s">
        <v>19</v>
      </c>
      <c r="H215" s="5" t="s">
        <v>19</v>
      </c>
      <c r="I215" s="5" t="s">
        <v>19</v>
      </c>
      <c r="J215" s="5"/>
      <c r="K215" s="5"/>
      <c r="L215" s="5"/>
      <c r="M215" s="7"/>
      <c r="N215" s="7"/>
      <c r="O215" s="7"/>
      <c r="P215" s="7"/>
      <c r="Q215" s="5" t="s">
        <v>19</v>
      </c>
    </row>
    <row r="216" ht="15.75" customHeight="1">
      <c r="A216" s="5" t="s">
        <v>745</v>
      </c>
      <c r="B216" s="5"/>
      <c r="C216" s="6"/>
      <c r="D216" s="5"/>
      <c r="E216" s="5" t="s">
        <v>19</v>
      </c>
      <c r="F216" s="5"/>
      <c r="G216" s="5" t="s">
        <v>746</v>
      </c>
      <c r="H216" s="5" t="s">
        <v>19</v>
      </c>
      <c r="I216" s="5" t="s">
        <v>746</v>
      </c>
      <c r="J216" s="5"/>
      <c r="K216" s="5"/>
      <c r="L216" s="5"/>
      <c r="M216" s="7"/>
      <c r="N216" s="7"/>
      <c r="O216" s="7"/>
      <c r="P216" s="7"/>
      <c r="Q216" s="5" t="s">
        <v>19</v>
      </c>
    </row>
    <row r="217" ht="15.75" customHeight="1">
      <c r="A217" s="5" t="s">
        <v>747</v>
      </c>
      <c r="B217" s="5"/>
      <c r="C217" s="6"/>
      <c r="D217" s="5"/>
      <c r="E217" s="5" t="s">
        <v>748</v>
      </c>
      <c r="F217" s="5"/>
      <c r="G217" s="5" t="s">
        <v>749</v>
      </c>
      <c r="H217" s="5" t="s">
        <v>19</v>
      </c>
      <c r="I217" s="5" t="s">
        <v>749</v>
      </c>
      <c r="J217" s="5"/>
      <c r="K217" s="5"/>
      <c r="L217" s="5"/>
      <c r="M217" s="7"/>
      <c r="N217" s="7"/>
      <c r="O217" s="7"/>
      <c r="P217" s="7"/>
      <c r="Q217" s="5" t="s">
        <v>19</v>
      </c>
    </row>
    <row r="218" ht="15.75" customHeight="1">
      <c r="A218" s="5" t="s">
        <v>750</v>
      </c>
      <c r="B218" s="5"/>
      <c r="C218" s="6"/>
      <c r="D218" s="5"/>
      <c r="E218" s="5" t="s">
        <v>751</v>
      </c>
      <c r="F218" s="5"/>
      <c r="G218" s="5" t="s">
        <v>19</v>
      </c>
      <c r="H218" s="5" t="s">
        <v>19</v>
      </c>
      <c r="I218" s="5" t="s">
        <v>752</v>
      </c>
      <c r="J218" s="5"/>
      <c r="K218" s="5"/>
      <c r="L218" s="5"/>
      <c r="M218" s="7"/>
      <c r="N218" s="7"/>
      <c r="O218" s="7"/>
      <c r="P218" s="7"/>
      <c r="Q218" s="5" t="s">
        <v>19</v>
      </c>
    </row>
    <row r="219" ht="15.75" customHeight="1">
      <c r="A219" s="5" t="s">
        <v>753</v>
      </c>
      <c r="B219" s="5"/>
      <c r="C219" s="6"/>
      <c r="D219" s="5"/>
      <c r="E219" s="5" t="s">
        <v>754</v>
      </c>
      <c r="F219" s="5"/>
      <c r="G219" s="5" t="s">
        <v>19</v>
      </c>
      <c r="H219" s="5" t="s">
        <v>19</v>
      </c>
      <c r="I219" s="5" t="s">
        <v>19</v>
      </c>
      <c r="J219" s="5"/>
      <c r="K219" s="5"/>
      <c r="L219" s="5"/>
      <c r="M219" s="7"/>
      <c r="N219" s="7"/>
      <c r="O219" s="7"/>
      <c r="P219" s="7"/>
      <c r="Q219" s="5" t="s">
        <v>19</v>
      </c>
    </row>
    <row r="220" ht="15.75" customHeight="1">
      <c r="A220" s="5" t="s">
        <v>755</v>
      </c>
      <c r="B220" s="5"/>
      <c r="C220" s="6"/>
      <c r="D220" s="5"/>
      <c r="E220" s="5" t="s">
        <v>756</v>
      </c>
      <c r="F220" s="5"/>
      <c r="G220" s="5" t="s">
        <v>19</v>
      </c>
      <c r="H220" s="5" t="s">
        <v>19</v>
      </c>
      <c r="I220" s="5" t="s">
        <v>19</v>
      </c>
      <c r="J220" s="5"/>
      <c r="K220" s="5"/>
      <c r="L220" s="5"/>
      <c r="M220" s="7"/>
      <c r="N220" s="7"/>
      <c r="O220" s="7"/>
      <c r="P220" s="7"/>
      <c r="Q220" s="5" t="s">
        <v>19</v>
      </c>
    </row>
    <row r="221" ht="15.75" customHeight="1">
      <c r="A221" s="5" t="s">
        <v>757</v>
      </c>
      <c r="B221" s="5"/>
      <c r="C221" s="6"/>
      <c r="D221" s="5"/>
      <c r="E221" s="5" t="s">
        <v>758</v>
      </c>
      <c r="F221" s="5"/>
      <c r="G221" s="5" t="s">
        <v>19</v>
      </c>
      <c r="H221" s="5" t="s">
        <v>19</v>
      </c>
      <c r="I221" s="5" t="s">
        <v>19</v>
      </c>
      <c r="J221" s="5"/>
      <c r="K221" s="5"/>
      <c r="L221" s="5"/>
      <c r="M221" s="7"/>
      <c r="N221" s="7"/>
      <c r="O221" s="7"/>
      <c r="P221" s="7"/>
      <c r="Q221" s="5" t="s">
        <v>19</v>
      </c>
    </row>
    <row r="222" ht="15.75" customHeight="1">
      <c r="A222" s="5" t="s">
        <v>759</v>
      </c>
      <c r="B222" s="5"/>
      <c r="C222" s="6"/>
      <c r="D222" s="5"/>
      <c r="E222" s="5" t="s">
        <v>760</v>
      </c>
      <c r="F222" s="5"/>
      <c r="G222" s="5" t="s">
        <v>19</v>
      </c>
      <c r="H222" s="5" t="s">
        <v>19</v>
      </c>
      <c r="I222" s="5" t="s">
        <v>19</v>
      </c>
      <c r="J222" s="5"/>
      <c r="K222" s="5"/>
      <c r="L222" s="5"/>
      <c r="M222" s="7"/>
      <c r="N222" s="7"/>
      <c r="O222" s="7"/>
      <c r="P222" s="7"/>
      <c r="Q222" s="5" t="s">
        <v>19</v>
      </c>
    </row>
    <row r="223" ht="15.75" customHeight="1">
      <c r="A223" s="5" t="s">
        <v>761</v>
      </c>
      <c r="B223" s="5"/>
      <c r="C223" s="6"/>
      <c r="D223" s="5"/>
      <c r="E223" s="5" t="s">
        <v>762</v>
      </c>
      <c r="F223" s="5"/>
      <c r="G223" s="5" t="s">
        <v>19</v>
      </c>
      <c r="H223" s="5" t="s">
        <v>19</v>
      </c>
      <c r="I223" s="5" t="s">
        <v>19</v>
      </c>
      <c r="J223" s="5"/>
      <c r="K223" s="5"/>
      <c r="L223" s="5"/>
      <c r="M223" s="7"/>
      <c r="N223" s="7"/>
      <c r="O223" s="7"/>
      <c r="P223" s="7"/>
      <c r="Q223" s="5" t="s">
        <v>19</v>
      </c>
    </row>
    <row r="224" ht="15.75" customHeight="1">
      <c r="A224" s="5" t="s">
        <v>763</v>
      </c>
      <c r="B224" s="5"/>
      <c r="C224" s="6"/>
      <c r="D224" s="5"/>
      <c r="E224" s="5" t="s">
        <v>764</v>
      </c>
      <c r="F224" s="5"/>
      <c r="G224" s="5" t="s">
        <v>19</v>
      </c>
      <c r="H224" s="5" t="s">
        <v>19</v>
      </c>
      <c r="I224" s="5" t="s">
        <v>19</v>
      </c>
      <c r="J224" s="5"/>
      <c r="K224" s="5"/>
      <c r="L224" s="5"/>
      <c r="M224" s="7"/>
      <c r="N224" s="7"/>
      <c r="O224" s="7"/>
      <c r="P224" s="7"/>
      <c r="Q224" s="5" t="s">
        <v>19</v>
      </c>
    </row>
    <row r="225" ht="15.75" customHeight="1">
      <c r="A225" s="5" t="s">
        <v>765</v>
      </c>
      <c r="B225" s="5"/>
      <c r="C225" s="6"/>
      <c r="D225" s="5"/>
      <c r="E225" s="5" t="s">
        <v>766</v>
      </c>
      <c r="F225" s="5"/>
      <c r="G225" s="5" t="s">
        <v>19</v>
      </c>
      <c r="H225" s="5" t="s">
        <v>19</v>
      </c>
      <c r="I225" s="5" t="s">
        <v>767</v>
      </c>
      <c r="J225" s="5"/>
      <c r="K225" s="5"/>
      <c r="L225" s="5"/>
      <c r="M225" s="7"/>
      <c r="N225" s="7"/>
      <c r="O225" s="7"/>
      <c r="P225" s="7"/>
      <c r="Q225" s="5" t="s">
        <v>19</v>
      </c>
    </row>
    <row r="226" ht="15.75" customHeight="1">
      <c r="A226" s="5" t="s">
        <v>768</v>
      </c>
      <c r="B226" s="5"/>
      <c r="C226" s="6"/>
      <c r="D226" s="5"/>
      <c r="E226" s="5" t="s">
        <v>769</v>
      </c>
      <c r="F226" s="5"/>
      <c r="G226" s="5" t="s">
        <v>19</v>
      </c>
      <c r="H226" s="5" t="s">
        <v>19</v>
      </c>
      <c r="I226" s="5" t="s">
        <v>770</v>
      </c>
      <c r="J226" s="5"/>
      <c r="K226" s="5"/>
      <c r="L226" s="5"/>
      <c r="M226" s="7"/>
      <c r="N226" s="7"/>
      <c r="O226" s="7"/>
      <c r="P226" s="7"/>
      <c r="Q226" s="5" t="s">
        <v>19</v>
      </c>
    </row>
    <row r="227" ht="15.75" customHeight="1">
      <c r="A227" s="5" t="s">
        <v>771</v>
      </c>
      <c r="B227" s="5"/>
      <c r="C227" s="6"/>
      <c r="D227" s="5"/>
      <c r="E227" s="5" t="s">
        <v>772</v>
      </c>
      <c r="F227" s="5"/>
      <c r="G227" s="5" t="s">
        <v>19</v>
      </c>
      <c r="H227" s="5" t="s">
        <v>19</v>
      </c>
      <c r="I227" s="5" t="s">
        <v>773</v>
      </c>
      <c r="J227" s="5"/>
      <c r="K227" s="5"/>
      <c r="L227" s="5"/>
      <c r="M227" s="7"/>
      <c r="N227" s="7"/>
      <c r="O227" s="7"/>
      <c r="P227" s="7"/>
      <c r="Q227" s="5" t="s">
        <v>19</v>
      </c>
    </row>
    <row r="228" ht="15.75" customHeight="1">
      <c r="A228" s="5" t="s">
        <v>774</v>
      </c>
      <c r="B228" s="5"/>
      <c r="C228" s="6"/>
      <c r="D228" s="5"/>
      <c r="E228" s="5" t="s">
        <v>775</v>
      </c>
      <c r="F228" s="5"/>
      <c r="G228" s="5" t="s">
        <v>19</v>
      </c>
      <c r="H228" s="5" t="s">
        <v>19</v>
      </c>
      <c r="I228" s="5" t="s">
        <v>776</v>
      </c>
      <c r="J228" s="5"/>
      <c r="K228" s="5"/>
      <c r="L228" s="5"/>
      <c r="M228" s="7"/>
      <c r="N228" s="7"/>
      <c r="O228" s="7"/>
      <c r="P228" s="7"/>
      <c r="Q228" s="5" t="s">
        <v>19</v>
      </c>
    </row>
    <row r="229" ht="15.75" customHeight="1">
      <c r="A229" s="5" t="s">
        <v>777</v>
      </c>
      <c r="B229" s="5"/>
      <c r="C229" s="6"/>
      <c r="D229" s="5"/>
      <c r="E229" s="5" t="s">
        <v>778</v>
      </c>
      <c r="F229" s="5"/>
      <c r="G229" s="5" t="s">
        <v>19</v>
      </c>
      <c r="H229" s="5" t="s">
        <v>19</v>
      </c>
      <c r="I229" s="5" t="s">
        <v>779</v>
      </c>
      <c r="J229" s="5"/>
      <c r="K229" s="5"/>
      <c r="L229" s="5"/>
      <c r="M229" s="7"/>
      <c r="N229" s="7"/>
      <c r="O229" s="7"/>
      <c r="P229" s="7"/>
      <c r="Q229" s="5" t="s">
        <v>19</v>
      </c>
    </row>
    <row r="230" ht="15.75" customHeight="1">
      <c r="A230" s="5" t="s">
        <v>780</v>
      </c>
      <c r="B230" s="5"/>
      <c r="C230" s="6"/>
      <c r="D230" s="5"/>
      <c r="E230" s="5" t="s">
        <v>781</v>
      </c>
      <c r="F230" s="5"/>
      <c r="G230" s="5" t="s">
        <v>19</v>
      </c>
      <c r="H230" s="5" t="s">
        <v>19</v>
      </c>
      <c r="I230" s="5" t="s">
        <v>782</v>
      </c>
      <c r="J230" s="5"/>
      <c r="K230" s="5"/>
      <c r="L230" s="5"/>
      <c r="M230" s="7"/>
      <c r="N230" s="7"/>
      <c r="O230" s="7"/>
      <c r="P230" s="7"/>
      <c r="Q230" s="5" t="s">
        <v>19</v>
      </c>
    </row>
    <row r="231" ht="15.75" customHeight="1">
      <c r="A231" s="5" t="s">
        <v>783</v>
      </c>
      <c r="B231" s="5"/>
      <c r="C231" s="6"/>
      <c r="D231" s="5"/>
      <c r="E231" s="5" t="s">
        <v>784</v>
      </c>
      <c r="F231" s="5"/>
      <c r="G231" s="5" t="s">
        <v>785</v>
      </c>
      <c r="H231" s="5" t="s">
        <v>19</v>
      </c>
      <c r="I231" s="5" t="s">
        <v>785</v>
      </c>
      <c r="J231" s="5"/>
      <c r="K231" s="5"/>
      <c r="L231" s="5"/>
      <c r="M231" s="7"/>
      <c r="N231" s="7"/>
      <c r="O231" s="7"/>
      <c r="P231" s="7"/>
      <c r="Q231" s="5" t="s">
        <v>19</v>
      </c>
    </row>
    <row r="232" ht="15.75" customHeight="1">
      <c r="A232" s="5" t="s">
        <v>786</v>
      </c>
      <c r="B232" s="5"/>
      <c r="C232" s="6"/>
      <c r="D232" s="5"/>
      <c r="E232" s="5" t="s">
        <v>787</v>
      </c>
      <c r="F232" s="5"/>
      <c r="G232" s="5" t="s">
        <v>19</v>
      </c>
      <c r="H232" s="5" t="s">
        <v>19</v>
      </c>
      <c r="I232" s="5" t="s">
        <v>19</v>
      </c>
      <c r="J232" s="5"/>
      <c r="K232" s="5"/>
      <c r="L232" s="5"/>
      <c r="M232" s="7"/>
      <c r="N232" s="7"/>
      <c r="O232" s="7"/>
      <c r="P232" s="7"/>
      <c r="Q232" s="5" t="s">
        <v>19</v>
      </c>
    </row>
    <row r="233" ht="15.75" customHeight="1">
      <c r="A233" s="5" t="s">
        <v>788</v>
      </c>
      <c r="B233" s="5"/>
      <c r="C233" s="6"/>
      <c r="D233" s="5"/>
      <c r="E233" s="5" t="s">
        <v>19</v>
      </c>
      <c r="F233" s="5"/>
      <c r="G233" s="5" t="s">
        <v>19</v>
      </c>
      <c r="H233" s="5" t="s">
        <v>19</v>
      </c>
      <c r="I233" s="5" t="s">
        <v>789</v>
      </c>
      <c r="J233" s="5"/>
      <c r="K233" s="5"/>
      <c r="L233" s="5"/>
      <c r="M233" s="7"/>
      <c r="N233" s="7"/>
      <c r="O233" s="7"/>
      <c r="P233" s="7"/>
      <c r="Q233" s="5" t="s">
        <v>19</v>
      </c>
    </row>
    <row r="234" ht="15.75" customHeight="1">
      <c r="A234" s="5" t="s">
        <v>790</v>
      </c>
      <c r="B234" s="5"/>
      <c r="C234" s="6"/>
      <c r="D234" s="5"/>
      <c r="E234" s="5" t="s">
        <v>791</v>
      </c>
      <c r="F234" s="5"/>
      <c r="G234" s="5" t="s">
        <v>19</v>
      </c>
      <c r="H234" s="5" t="s">
        <v>19</v>
      </c>
      <c r="I234" s="5" t="s">
        <v>19</v>
      </c>
      <c r="J234" s="5"/>
      <c r="K234" s="5"/>
      <c r="L234" s="5"/>
      <c r="M234" s="7"/>
      <c r="N234" s="7"/>
      <c r="O234" s="7"/>
      <c r="P234" s="7"/>
      <c r="Q234" s="5" t="s">
        <v>19</v>
      </c>
    </row>
    <row r="235" ht="15.75" customHeight="1">
      <c r="A235" s="5" t="s">
        <v>792</v>
      </c>
      <c r="B235" s="5"/>
      <c r="C235" s="6"/>
      <c r="D235" s="5"/>
      <c r="E235" s="5" t="s">
        <v>19</v>
      </c>
      <c r="F235" s="5"/>
      <c r="G235" s="5" t="s">
        <v>19</v>
      </c>
      <c r="H235" s="5" t="s">
        <v>19</v>
      </c>
      <c r="I235" s="5" t="s">
        <v>793</v>
      </c>
      <c r="J235" s="5"/>
      <c r="K235" s="5"/>
      <c r="L235" s="5"/>
      <c r="M235" s="7"/>
      <c r="N235" s="7"/>
      <c r="O235" s="7"/>
      <c r="P235" s="7"/>
      <c r="Q235" s="5" t="s">
        <v>19</v>
      </c>
    </row>
    <row r="236" ht="15.75" customHeight="1">
      <c r="A236" s="5" t="s">
        <v>794</v>
      </c>
      <c r="B236" s="5"/>
      <c r="C236" s="6"/>
      <c r="D236" s="5"/>
      <c r="E236" s="5" t="s">
        <v>19</v>
      </c>
      <c r="F236" s="5"/>
      <c r="G236" s="5" t="s">
        <v>795</v>
      </c>
      <c r="H236" s="5" t="s">
        <v>19</v>
      </c>
      <c r="I236" s="5" t="s">
        <v>795</v>
      </c>
      <c r="J236" s="5"/>
      <c r="K236" s="5"/>
      <c r="L236" s="5"/>
      <c r="M236" s="7"/>
      <c r="N236" s="7"/>
      <c r="O236" s="7"/>
      <c r="P236" s="7"/>
      <c r="Q236" s="5" t="s">
        <v>19</v>
      </c>
    </row>
    <row r="237" ht="15.75" customHeight="1">
      <c r="A237" s="9"/>
      <c r="B237" s="9"/>
      <c r="C237" s="19"/>
      <c r="D237" s="20"/>
      <c r="E237" s="9"/>
      <c r="F237" s="9"/>
      <c r="G237" s="9"/>
      <c r="H237" s="5" t="s">
        <v>19</v>
      </c>
      <c r="I237" s="9"/>
      <c r="J237" s="9"/>
      <c r="K237" s="21"/>
      <c r="L237" s="21"/>
      <c r="M237" s="22"/>
      <c r="N237" s="7"/>
      <c r="O237" s="7"/>
      <c r="P237" s="7"/>
      <c r="Q237" s="9"/>
    </row>
    <row r="238" ht="15.75" customHeight="1">
      <c r="A238" s="5" t="s">
        <v>796</v>
      </c>
      <c r="B238" s="5" t="s">
        <v>797</v>
      </c>
      <c r="C238" s="6"/>
      <c r="D238" s="5"/>
      <c r="E238" s="5" t="s">
        <v>19</v>
      </c>
      <c r="F238" s="5"/>
      <c r="G238" s="5" t="s">
        <v>519</v>
      </c>
      <c r="H238" s="5" t="s">
        <v>19</v>
      </c>
      <c r="I238" s="5" t="s">
        <v>519</v>
      </c>
      <c r="J238" s="5"/>
      <c r="K238" s="5"/>
      <c r="L238" s="5"/>
      <c r="M238" s="7"/>
      <c r="N238" s="7"/>
      <c r="O238" s="7"/>
      <c r="P238" s="7"/>
      <c r="Q238" s="5" t="s">
        <v>19</v>
      </c>
    </row>
    <row r="239" ht="15.75" customHeight="1">
      <c r="A239" s="5" t="s">
        <v>110</v>
      </c>
      <c r="B239" s="5" t="s">
        <v>798</v>
      </c>
      <c r="C239" s="6"/>
      <c r="D239" s="5"/>
      <c r="E239" s="5" t="s">
        <v>19</v>
      </c>
      <c r="F239" s="5"/>
      <c r="G239" s="5" t="s">
        <v>799</v>
      </c>
      <c r="H239" s="5" t="s">
        <v>19</v>
      </c>
      <c r="I239" s="5" t="s">
        <v>799</v>
      </c>
      <c r="J239" s="5"/>
      <c r="K239" s="5"/>
      <c r="L239" s="5"/>
      <c r="M239" s="7"/>
      <c r="N239" s="7"/>
      <c r="O239" s="7"/>
      <c r="P239" s="7"/>
      <c r="Q239" s="5" t="s">
        <v>19</v>
      </c>
    </row>
    <row r="240" ht="15.75" customHeight="1">
      <c r="A240" s="5" t="s">
        <v>206</v>
      </c>
      <c r="B240" s="5" t="s">
        <v>800</v>
      </c>
      <c r="C240" s="6"/>
      <c r="D240" s="5"/>
      <c r="E240" s="5" t="s">
        <v>19</v>
      </c>
      <c r="F240" s="5"/>
      <c r="G240" s="5" t="s">
        <v>801</v>
      </c>
      <c r="H240" s="5" t="s">
        <v>19</v>
      </c>
      <c r="I240" s="5" t="s">
        <v>801</v>
      </c>
      <c r="J240" s="5"/>
      <c r="K240" s="5"/>
      <c r="L240" s="5"/>
      <c r="M240" s="7"/>
      <c r="N240" s="7"/>
      <c r="O240" s="7"/>
      <c r="P240" s="7"/>
      <c r="Q240" s="5" t="s">
        <v>19</v>
      </c>
    </row>
    <row r="241" ht="15.75" customHeight="1">
      <c r="A241" s="5" t="s">
        <v>182</v>
      </c>
      <c r="B241" s="5" t="s">
        <v>802</v>
      </c>
      <c r="C241" s="6"/>
      <c r="D241" s="5"/>
      <c r="E241" s="5" t="s">
        <v>19</v>
      </c>
      <c r="F241" s="5"/>
      <c r="G241" s="5" t="s">
        <v>803</v>
      </c>
      <c r="H241" s="5" t="s">
        <v>19</v>
      </c>
      <c r="I241" s="5" t="s">
        <v>803</v>
      </c>
      <c r="J241" s="5"/>
      <c r="K241" s="5"/>
      <c r="L241" s="5"/>
      <c r="M241" s="7"/>
      <c r="N241" s="7"/>
      <c r="O241" s="7"/>
      <c r="P241" s="7"/>
      <c r="Q241" s="5" t="s">
        <v>19</v>
      </c>
    </row>
    <row r="242" ht="15.75" customHeight="1">
      <c r="A242" s="5" t="s">
        <v>804</v>
      </c>
      <c r="B242" s="5"/>
      <c r="C242" s="6"/>
      <c r="D242" s="5"/>
      <c r="E242" s="5" t="s">
        <v>19</v>
      </c>
      <c r="F242" s="5"/>
      <c r="G242" s="5" t="s">
        <v>19</v>
      </c>
      <c r="H242" s="5" t="s">
        <v>19</v>
      </c>
      <c r="I242" s="5" t="s">
        <v>805</v>
      </c>
      <c r="J242" s="5"/>
      <c r="K242" s="5"/>
      <c r="L242" s="5"/>
      <c r="M242" s="7"/>
      <c r="N242" s="7"/>
      <c r="O242" s="7"/>
      <c r="P242" s="7"/>
      <c r="Q242" s="5" t="s">
        <v>19</v>
      </c>
    </row>
    <row r="243" ht="15.75" customHeight="1">
      <c r="A243" s="5" t="s">
        <v>806</v>
      </c>
      <c r="B243" s="5"/>
      <c r="C243" s="6"/>
      <c r="D243" s="5"/>
      <c r="E243" s="5" t="s">
        <v>19</v>
      </c>
      <c r="F243" s="5"/>
      <c r="G243" s="5" t="s">
        <v>807</v>
      </c>
      <c r="H243" s="5" t="s">
        <v>19</v>
      </c>
      <c r="I243" s="5" t="s">
        <v>19</v>
      </c>
      <c r="J243" s="5"/>
      <c r="K243" s="5"/>
      <c r="L243" s="5"/>
      <c r="M243" s="7"/>
      <c r="N243" s="7"/>
      <c r="O243" s="7"/>
      <c r="P243" s="7"/>
      <c r="Q243" s="5" t="s">
        <v>19</v>
      </c>
    </row>
    <row r="244" ht="15.75" customHeight="1">
      <c r="A244" s="5" t="s">
        <v>808</v>
      </c>
      <c r="B244" s="5"/>
      <c r="C244" s="6"/>
      <c r="D244" s="5"/>
      <c r="E244" s="5" t="s">
        <v>19</v>
      </c>
      <c r="F244" s="5"/>
      <c r="G244" s="5" t="s">
        <v>809</v>
      </c>
      <c r="H244" s="5" t="s">
        <v>19</v>
      </c>
      <c r="I244" s="5" t="s">
        <v>19</v>
      </c>
      <c r="J244" s="5"/>
      <c r="K244" s="5"/>
      <c r="L244" s="5"/>
      <c r="M244" s="7"/>
      <c r="N244" s="7"/>
      <c r="O244" s="7"/>
      <c r="P244" s="7"/>
      <c r="Q244" s="5" t="s">
        <v>19</v>
      </c>
    </row>
    <row r="245" ht="15.75" customHeight="1">
      <c r="A245" s="5" t="s">
        <v>374</v>
      </c>
      <c r="B245" s="5" t="s">
        <v>810</v>
      </c>
      <c r="C245" s="6"/>
      <c r="D245" s="5"/>
      <c r="E245" s="5" t="s">
        <v>19</v>
      </c>
      <c r="F245" s="5"/>
      <c r="G245" s="5" t="s">
        <v>811</v>
      </c>
      <c r="H245" s="5" t="s">
        <v>19</v>
      </c>
      <c r="I245" s="5" t="s">
        <v>811</v>
      </c>
      <c r="J245" s="5"/>
      <c r="K245" s="5"/>
      <c r="L245" s="5"/>
      <c r="M245" s="7"/>
      <c r="N245" s="7"/>
      <c r="O245" s="7"/>
      <c r="P245" s="7"/>
      <c r="Q245" s="5" t="s">
        <v>19</v>
      </c>
    </row>
    <row r="246" ht="15.75" customHeight="1">
      <c r="A246" s="5" t="s">
        <v>303</v>
      </c>
      <c r="B246" s="5" t="s">
        <v>812</v>
      </c>
      <c r="C246" s="6"/>
      <c r="D246" s="5"/>
      <c r="E246" s="5" t="s">
        <v>19</v>
      </c>
      <c r="F246" s="5"/>
      <c r="G246" s="5" t="s">
        <v>813</v>
      </c>
      <c r="H246" s="5" t="s">
        <v>19</v>
      </c>
      <c r="I246" s="5" t="s">
        <v>813</v>
      </c>
      <c r="J246" s="5"/>
      <c r="K246" s="5"/>
      <c r="L246" s="5"/>
      <c r="M246" s="7"/>
      <c r="N246" s="7"/>
      <c r="O246" s="7"/>
      <c r="P246" s="7"/>
      <c r="Q246" s="5" t="s">
        <v>19</v>
      </c>
    </row>
    <row r="247" ht="15.75" customHeight="1">
      <c r="A247" s="5" t="s">
        <v>57</v>
      </c>
      <c r="B247" s="5" t="s">
        <v>814</v>
      </c>
      <c r="C247" s="6"/>
      <c r="D247" s="5"/>
      <c r="E247" s="5" t="s">
        <v>19</v>
      </c>
      <c r="F247" s="5"/>
      <c r="G247" s="5" t="s">
        <v>815</v>
      </c>
      <c r="H247" s="5" t="s">
        <v>19</v>
      </c>
      <c r="I247" s="5" t="s">
        <v>815</v>
      </c>
      <c r="J247" s="5"/>
      <c r="K247" s="5"/>
      <c r="L247" s="5"/>
      <c r="M247" s="7"/>
      <c r="N247" s="7"/>
      <c r="O247" s="7"/>
      <c r="P247" s="7"/>
      <c r="Q247" s="5" t="s">
        <v>19</v>
      </c>
    </row>
    <row r="248" ht="15.75" customHeight="1">
      <c r="A248" s="5" t="s">
        <v>816</v>
      </c>
      <c r="B248" s="5"/>
      <c r="C248" s="6"/>
      <c r="D248" s="5"/>
      <c r="E248" s="5" t="s">
        <v>19</v>
      </c>
      <c r="F248" s="5"/>
      <c r="G248" s="5" t="s">
        <v>19</v>
      </c>
      <c r="H248" s="5" t="s">
        <v>19</v>
      </c>
      <c r="I248" s="5" t="s">
        <v>21</v>
      </c>
      <c r="J248" s="5"/>
      <c r="K248" s="5"/>
      <c r="L248" s="5"/>
      <c r="M248" s="7"/>
      <c r="N248" s="7"/>
      <c r="O248" s="7"/>
      <c r="P248" s="7"/>
      <c r="Q248" s="5" t="s">
        <v>19</v>
      </c>
    </row>
    <row r="249" ht="15.75" customHeight="1">
      <c r="A249" s="5" t="s">
        <v>817</v>
      </c>
      <c r="B249" s="5"/>
      <c r="C249" s="6"/>
      <c r="D249" s="5"/>
      <c r="E249" s="5" t="s">
        <v>19</v>
      </c>
      <c r="F249" s="5"/>
      <c r="G249" s="5" t="s">
        <v>818</v>
      </c>
      <c r="H249" s="5" t="s">
        <v>19</v>
      </c>
      <c r="I249" s="5" t="s">
        <v>19</v>
      </c>
      <c r="J249" s="5"/>
      <c r="K249" s="5"/>
      <c r="L249" s="5"/>
      <c r="M249" s="7"/>
      <c r="N249" s="7"/>
      <c r="O249" s="7"/>
      <c r="P249" s="7"/>
      <c r="Q249" s="5" t="s">
        <v>19</v>
      </c>
    </row>
    <row r="250" ht="15.75" customHeight="1">
      <c r="A250" s="5" t="s">
        <v>819</v>
      </c>
      <c r="B250" s="5"/>
      <c r="C250" s="6"/>
      <c r="D250" s="5"/>
      <c r="E250" s="5" t="s">
        <v>19</v>
      </c>
      <c r="F250" s="5"/>
      <c r="G250" s="5" t="s">
        <v>820</v>
      </c>
      <c r="H250" s="5" t="s">
        <v>19</v>
      </c>
      <c r="I250" s="5" t="s">
        <v>19</v>
      </c>
      <c r="J250" s="5"/>
      <c r="K250" s="5"/>
      <c r="L250" s="5"/>
      <c r="M250" s="7"/>
      <c r="N250" s="7"/>
      <c r="O250" s="7"/>
      <c r="P250" s="7"/>
      <c r="Q250" s="5" t="s">
        <v>19</v>
      </c>
    </row>
    <row r="251" ht="15.75" customHeight="1">
      <c r="A251" s="5" t="s">
        <v>821</v>
      </c>
      <c r="B251" s="5"/>
      <c r="C251" s="6"/>
      <c r="D251" s="5"/>
      <c r="E251" s="5" t="s">
        <v>19</v>
      </c>
      <c r="F251" s="5"/>
      <c r="G251" s="5" t="s">
        <v>822</v>
      </c>
      <c r="H251" s="5" t="s">
        <v>19</v>
      </c>
      <c r="I251" s="5" t="s">
        <v>19</v>
      </c>
      <c r="J251" s="5"/>
      <c r="K251" s="5"/>
      <c r="L251" s="5"/>
      <c r="M251" s="7"/>
      <c r="N251" s="7"/>
      <c r="O251" s="7"/>
      <c r="P251" s="7"/>
      <c r="Q251" s="5" t="s">
        <v>19</v>
      </c>
    </row>
    <row r="252" ht="15.75" customHeight="1">
      <c r="A252" s="5" t="s">
        <v>823</v>
      </c>
      <c r="B252" s="5"/>
      <c r="C252" s="6"/>
      <c r="D252" s="5"/>
      <c r="E252" s="5" t="s">
        <v>19</v>
      </c>
      <c r="F252" s="5"/>
      <c r="G252" s="5" t="s">
        <v>19</v>
      </c>
      <c r="H252" s="5" t="s">
        <v>19</v>
      </c>
      <c r="I252" s="5" t="s">
        <v>822</v>
      </c>
      <c r="J252" s="5"/>
      <c r="K252" s="5"/>
      <c r="L252" s="5"/>
      <c r="M252" s="7"/>
      <c r="N252" s="7"/>
      <c r="O252" s="7"/>
      <c r="P252" s="7"/>
      <c r="Q252" s="5" t="s">
        <v>19</v>
      </c>
    </row>
    <row r="253" ht="15.75" customHeight="1">
      <c r="A253" s="5" t="s">
        <v>20</v>
      </c>
      <c r="B253" s="5" t="s">
        <v>824</v>
      </c>
      <c r="C253" s="6"/>
      <c r="D253" s="5"/>
      <c r="E253" s="5" t="s">
        <v>19</v>
      </c>
      <c r="F253" s="5"/>
      <c r="G253" s="5" t="s">
        <v>825</v>
      </c>
      <c r="H253" s="5" t="s">
        <v>19</v>
      </c>
      <c r="I253" s="5" t="s">
        <v>825</v>
      </c>
      <c r="J253" s="5"/>
      <c r="K253" s="5"/>
      <c r="L253" s="5"/>
      <c r="M253" s="7"/>
      <c r="N253" s="7"/>
      <c r="O253" s="7"/>
      <c r="P253" s="7"/>
      <c r="Q253" s="5" t="s">
        <v>19</v>
      </c>
    </row>
    <row r="254" ht="15.75" customHeight="1">
      <c r="A254" s="5" t="s">
        <v>826</v>
      </c>
      <c r="B254" s="5"/>
      <c r="C254" s="6"/>
      <c r="D254" s="5"/>
      <c r="E254" s="5" t="s">
        <v>19</v>
      </c>
      <c r="F254" s="5"/>
      <c r="G254" s="5" t="s">
        <v>19</v>
      </c>
      <c r="H254" s="5" t="s">
        <v>19</v>
      </c>
      <c r="I254" s="5" t="s">
        <v>477</v>
      </c>
      <c r="J254" s="5"/>
      <c r="K254" s="5"/>
      <c r="L254" s="5"/>
      <c r="M254" s="7"/>
      <c r="N254" s="7"/>
      <c r="O254" s="7"/>
      <c r="P254" s="7"/>
      <c r="Q254" s="5" t="s">
        <v>19</v>
      </c>
    </row>
    <row r="255" ht="15.75" customHeight="1">
      <c r="A255" s="5" t="s">
        <v>827</v>
      </c>
      <c r="B255" s="5"/>
      <c r="C255" s="6"/>
      <c r="D255" s="5"/>
      <c r="E255" s="5" t="s">
        <v>19</v>
      </c>
      <c r="F255" s="5"/>
      <c r="G255" s="5" t="s">
        <v>828</v>
      </c>
      <c r="H255" s="5" t="s">
        <v>19</v>
      </c>
      <c r="I255" s="5" t="s">
        <v>19</v>
      </c>
      <c r="J255" s="5"/>
      <c r="K255" s="5"/>
      <c r="L255" s="5"/>
      <c r="M255" s="7"/>
      <c r="N255" s="7"/>
      <c r="O255" s="7"/>
      <c r="P255" s="7"/>
      <c r="Q255" s="5" t="s">
        <v>19</v>
      </c>
    </row>
    <row r="256" ht="15.75" customHeight="1">
      <c r="A256" s="5" t="s">
        <v>829</v>
      </c>
      <c r="B256" s="5"/>
      <c r="C256" s="6"/>
      <c r="D256" s="5"/>
      <c r="E256" s="5" t="s">
        <v>19</v>
      </c>
      <c r="F256" s="5"/>
      <c r="G256" s="5" t="s">
        <v>830</v>
      </c>
      <c r="H256" s="5" t="s">
        <v>19</v>
      </c>
      <c r="I256" s="5" t="s">
        <v>19</v>
      </c>
      <c r="J256" s="5"/>
      <c r="K256" s="5"/>
      <c r="L256" s="5"/>
      <c r="M256" s="7"/>
      <c r="N256" s="7"/>
      <c r="O256" s="7"/>
      <c r="P256" s="7"/>
      <c r="Q256" s="5" t="s">
        <v>19</v>
      </c>
    </row>
    <row r="257" ht="15.75" customHeight="1">
      <c r="A257" s="5" t="s">
        <v>831</v>
      </c>
      <c r="B257" s="5"/>
      <c r="C257" s="6"/>
      <c r="D257" s="5"/>
      <c r="E257" s="5" t="s">
        <v>19</v>
      </c>
      <c r="F257" s="5"/>
      <c r="G257" s="5" t="s">
        <v>19</v>
      </c>
      <c r="H257" s="5" t="s">
        <v>19</v>
      </c>
      <c r="I257" s="5" t="s">
        <v>832</v>
      </c>
      <c r="J257" s="5"/>
      <c r="K257" s="5"/>
      <c r="L257" s="5"/>
      <c r="M257" s="7"/>
      <c r="N257" s="7"/>
      <c r="O257" s="7"/>
      <c r="P257" s="7"/>
      <c r="Q257" s="5" t="s">
        <v>19</v>
      </c>
    </row>
    <row r="258" ht="15.75" customHeight="1">
      <c r="A258" s="5" t="s">
        <v>83</v>
      </c>
      <c r="B258" s="5" t="s">
        <v>833</v>
      </c>
      <c r="C258" s="6"/>
      <c r="D258" s="5"/>
      <c r="E258" s="5" t="s">
        <v>19</v>
      </c>
      <c r="F258" s="5"/>
      <c r="G258" s="5" t="s">
        <v>834</v>
      </c>
      <c r="H258" s="5" t="s">
        <v>19</v>
      </c>
      <c r="I258" s="5" t="s">
        <v>834</v>
      </c>
      <c r="J258" s="5"/>
      <c r="K258" s="5"/>
      <c r="L258" s="5"/>
      <c r="M258" s="7"/>
      <c r="N258" s="7"/>
      <c r="O258" s="7"/>
      <c r="P258" s="7"/>
      <c r="Q258" s="5" t="s">
        <v>19</v>
      </c>
    </row>
    <row r="259" ht="15.75" customHeight="1">
      <c r="A259" s="5" t="s">
        <v>545</v>
      </c>
      <c r="B259" s="5" t="s">
        <v>835</v>
      </c>
      <c r="C259" s="6"/>
      <c r="D259" s="5"/>
      <c r="E259" s="5" t="s">
        <v>19</v>
      </c>
      <c r="F259" s="5"/>
      <c r="G259" s="5" t="s">
        <v>836</v>
      </c>
      <c r="H259" s="5" t="s">
        <v>19</v>
      </c>
      <c r="I259" s="5" t="s">
        <v>836</v>
      </c>
      <c r="J259" s="5"/>
      <c r="K259" s="5"/>
      <c r="L259" s="5"/>
      <c r="M259" s="7"/>
      <c r="N259" s="7"/>
      <c r="O259" s="7"/>
      <c r="P259" s="7"/>
      <c r="Q259" s="5" t="s">
        <v>19</v>
      </c>
    </row>
    <row r="260" ht="15.75" customHeight="1">
      <c r="A260" s="5" t="s">
        <v>467</v>
      </c>
      <c r="B260" s="5" t="s">
        <v>837</v>
      </c>
      <c r="C260" s="6"/>
      <c r="D260" s="5"/>
      <c r="E260" s="5" t="s">
        <v>19</v>
      </c>
      <c r="F260" s="5"/>
      <c r="G260" s="5" t="s">
        <v>838</v>
      </c>
      <c r="H260" s="5" t="s">
        <v>19</v>
      </c>
      <c r="I260" s="5" t="s">
        <v>838</v>
      </c>
      <c r="J260" s="5"/>
      <c r="K260" s="5"/>
      <c r="L260" s="5"/>
      <c r="M260" s="7"/>
      <c r="N260" s="7"/>
      <c r="O260" s="7"/>
      <c r="P260" s="7"/>
      <c r="Q260" s="5" t="s">
        <v>19</v>
      </c>
    </row>
    <row r="261" ht="15.75" customHeight="1">
      <c r="A261" s="5" t="s">
        <v>494</v>
      </c>
      <c r="B261" s="5" t="s">
        <v>839</v>
      </c>
      <c r="C261" s="6"/>
      <c r="D261" s="5"/>
      <c r="E261" s="5" t="s">
        <v>19</v>
      </c>
      <c r="F261" s="5"/>
      <c r="G261" s="5" t="s">
        <v>840</v>
      </c>
      <c r="H261" s="5" t="s">
        <v>19</v>
      </c>
      <c r="I261" s="5" t="s">
        <v>840</v>
      </c>
      <c r="J261" s="5"/>
      <c r="K261" s="5"/>
      <c r="L261" s="5"/>
      <c r="M261" s="7"/>
      <c r="N261" s="7"/>
      <c r="O261" s="7"/>
      <c r="P261" s="7"/>
      <c r="Q261" s="5" t="s">
        <v>19</v>
      </c>
    </row>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P$145"/>
  <conditionalFormatting sqref="E2:L261 Q2:Q261">
    <cfRule type="cellIs" dxfId="1" priority="1" operator="equal">
      <formula>"NA"</formula>
    </cfRule>
  </conditionalFormatting>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7.56"/>
    <col customWidth="1" min="2" max="2" width="10.56"/>
    <col customWidth="1" min="3" max="3" width="16.67"/>
    <col customWidth="1" min="4" max="26" width="10.56"/>
  </cols>
  <sheetData>
    <row r="1" ht="15.75" customHeight="1">
      <c r="A1" s="23" t="s">
        <v>841</v>
      </c>
      <c r="B1" s="23" t="s">
        <v>0</v>
      </c>
      <c r="C1" s="24" t="s">
        <v>842</v>
      </c>
    </row>
    <row r="2" ht="15.75" customHeight="1">
      <c r="A2" s="25" t="s">
        <v>843</v>
      </c>
      <c r="B2" s="26" t="s">
        <v>517</v>
      </c>
      <c r="C2" s="26" t="s">
        <v>517</v>
      </c>
      <c r="D2" s="24" t="s">
        <v>519</v>
      </c>
    </row>
    <row r="3" ht="15.75" customHeight="1">
      <c r="A3" s="25" t="s">
        <v>844</v>
      </c>
      <c r="B3" s="24" t="s">
        <v>521</v>
      </c>
      <c r="C3" s="24" t="s">
        <v>521</v>
      </c>
    </row>
    <row r="4" ht="15.75" customHeight="1">
      <c r="A4" s="25" t="s">
        <v>529</v>
      </c>
      <c r="B4" s="24" t="s">
        <v>524</v>
      </c>
      <c r="C4" s="24" t="s">
        <v>524</v>
      </c>
    </row>
    <row r="5" ht="15.75" customHeight="1">
      <c r="A5" s="25" t="s">
        <v>845</v>
      </c>
      <c r="B5" s="24" t="s">
        <v>527</v>
      </c>
      <c r="C5" s="24" t="s">
        <v>531</v>
      </c>
    </row>
    <row r="6" ht="15.75" customHeight="1">
      <c r="A6" s="25" t="s">
        <v>846</v>
      </c>
      <c r="B6" s="24" t="s">
        <v>531</v>
      </c>
      <c r="C6" s="24" t="s">
        <v>537</v>
      </c>
    </row>
    <row r="7" ht="15.75" customHeight="1"/>
    <row r="8" ht="15.75" customHeight="1">
      <c r="A8" s="13" t="s">
        <v>130</v>
      </c>
      <c r="B8" s="27" t="s">
        <v>847</v>
      </c>
      <c r="C8" s="27" t="s">
        <v>132</v>
      </c>
      <c r="D8" s="24" t="s">
        <v>21</v>
      </c>
    </row>
    <row r="9" ht="15.75" customHeight="1">
      <c r="A9" s="25" t="s">
        <v>848</v>
      </c>
      <c r="B9" s="27" t="s">
        <v>849</v>
      </c>
      <c r="C9" s="27" t="s">
        <v>148</v>
      </c>
    </row>
    <row r="10" ht="15.75" customHeight="1">
      <c r="A10" s="25" t="s">
        <v>850</v>
      </c>
      <c r="B10" s="27" t="s">
        <v>851</v>
      </c>
      <c r="C10" s="27" t="s">
        <v>152</v>
      </c>
    </row>
    <row r="11" ht="15.75" customHeight="1">
      <c r="A11" s="25" t="s">
        <v>852</v>
      </c>
      <c r="B11" s="27" t="s">
        <v>853</v>
      </c>
      <c r="C11" s="27" t="s">
        <v>156</v>
      </c>
    </row>
    <row r="12" ht="15.75" customHeight="1">
      <c r="A12" s="25" t="s">
        <v>854</v>
      </c>
      <c r="B12" s="27" t="s">
        <v>855</v>
      </c>
      <c r="C12" s="27" t="s">
        <v>160</v>
      </c>
    </row>
    <row r="13" ht="15.75" customHeight="1">
      <c r="A13" s="25" t="s">
        <v>163</v>
      </c>
      <c r="B13" s="27" t="s">
        <v>856</v>
      </c>
      <c r="C13" s="27" t="s">
        <v>165</v>
      </c>
    </row>
    <row r="14" ht="15.75" customHeight="1">
      <c r="A14" s="25" t="s">
        <v>857</v>
      </c>
      <c r="B14" s="27" t="s">
        <v>858</v>
      </c>
      <c r="C14" s="27" t="s">
        <v>169</v>
      </c>
    </row>
    <row r="15" ht="15.75" customHeight="1"/>
    <row r="16" ht="15.75" customHeight="1">
      <c r="A16" s="25" t="s">
        <v>859</v>
      </c>
      <c r="B16" s="27" t="s">
        <v>860</v>
      </c>
      <c r="C16" s="27" t="s">
        <v>236</v>
      </c>
      <c r="D16" s="24" t="s">
        <v>861</v>
      </c>
    </row>
    <row r="17" ht="15.75" customHeight="1">
      <c r="A17" s="25" t="s">
        <v>862</v>
      </c>
      <c r="B17" s="27" t="s">
        <v>863</v>
      </c>
      <c r="C17" s="27" t="s">
        <v>241</v>
      </c>
    </row>
    <row r="18" ht="15.75" customHeight="1">
      <c r="A18" s="25" t="s">
        <v>864</v>
      </c>
      <c r="B18" s="27" t="s">
        <v>865</v>
      </c>
      <c r="C18" s="27" t="s">
        <v>245</v>
      </c>
    </row>
    <row r="19" ht="15.75" customHeight="1">
      <c r="A19" s="25" t="s">
        <v>866</v>
      </c>
      <c r="B19" s="27" t="s">
        <v>867</v>
      </c>
      <c r="C19" s="27" t="s">
        <v>249</v>
      </c>
    </row>
    <row r="20" ht="15.75" customHeight="1">
      <c r="A20" s="25" t="s">
        <v>868</v>
      </c>
      <c r="B20" s="27" t="s">
        <v>869</v>
      </c>
      <c r="C20" s="27" t="s">
        <v>263</v>
      </c>
    </row>
    <row r="21" ht="15.75" customHeight="1">
      <c r="A21" s="25" t="s">
        <v>870</v>
      </c>
      <c r="B21" s="27" t="s">
        <v>871</v>
      </c>
      <c r="C21" s="27" t="s">
        <v>267</v>
      </c>
    </row>
    <row r="22" ht="15.75" customHeight="1"/>
    <row r="23" ht="15.75" customHeight="1">
      <c r="A23" s="25" t="s">
        <v>872</v>
      </c>
      <c r="B23" s="27" t="s">
        <v>873</v>
      </c>
      <c r="C23" s="27" t="s">
        <v>273</v>
      </c>
      <c r="D23" s="24" t="s">
        <v>477</v>
      </c>
    </row>
    <row r="24" ht="15.75" customHeight="1">
      <c r="A24" s="25" t="s">
        <v>284</v>
      </c>
      <c r="B24" s="27" t="s">
        <v>874</v>
      </c>
      <c r="C24" s="27" t="s">
        <v>278</v>
      </c>
    </row>
    <row r="25" ht="15.75" customHeight="1">
      <c r="A25" s="25" t="s">
        <v>293</v>
      </c>
      <c r="B25" s="27" t="s">
        <v>875</v>
      </c>
      <c r="C25" s="27" t="s">
        <v>287</v>
      </c>
    </row>
    <row r="26" ht="15.75" customHeight="1"/>
    <row r="27" ht="15.75" customHeight="1">
      <c r="A27" s="25" t="s">
        <v>876</v>
      </c>
      <c r="B27" s="27" t="s">
        <v>877</v>
      </c>
      <c r="C27" s="27" t="s">
        <v>430</v>
      </c>
      <c r="D27" s="24" t="s">
        <v>878</v>
      </c>
    </row>
    <row r="28" ht="15.75" customHeight="1">
      <c r="A28" s="25" t="s">
        <v>434</v>
      </c>
      <c r="B28" s="27" t="s">
        <v>879</v>
      </c>
      <c r="C28" s="27" t="s">
        <v>436</v>
      </c>
    </row>
    <row r="29" ht="15.75" customHeight="1">
      <c r="A29" s="25" t="s">
        <v>880</v>
      </c>
      <c r="B29" s="27" t="s">
        <v>881</v>
      </c>
      <c r="C29" s="27" t="s">
        <v>440</v>
      </c>
    </row>
    <row r="30" ht="15.75" customHeight="1"/>
    <row r="31" ht="15.75" customHeight="1">
      <c r="A31" s="25" t="s">
        <v>882</v>
      </c>
      <c r="B31" s="27" t="s">
        <v>883</v>
      </c>
      <c r="C31" s="27" t="s">
        <v>448</v>
      </c>
    </row>
    <row r="32" ht="15.75" customHeight="1">
      <c r="A32" s="25" t="s">
        <v>451</v>
      </c>
      <c r="B32" s="27" t="s">
        <v>884</v>
      </c>
      <c r="C32" s="27" t="s">
        <v>453</v>
      </c>
    </row>
    <row r="33" ht="15.75" customHeight="1">
      <c r="A33" s="25" t="s">
        <v>885</v>
      </c>
      <c r="B33" s="27" t="s">
        <v>886</v>
      </c>
      <c r="C33" s="27" t="s">
        <v>457</v>
      </c>
    </row>
    <row r="34" ht="15.75" customHeight="1"/>
    <row r="35" ht="15.75" customHeight="1"/>
    <row r="36" ht="15.75" customHeight="1">
      <c r="A36" s="24" t="s">
        <v>887</v>
      </c>
      <c r="B36" s="24"/>
    </row>
    <row r="37" ht="15.75" customHeight="1">
      <c r="A37" s="24" t="s">
        <v>888</v>
      </c>
      <c r="B37" s="24"/>
    </row>
    <row r="38" ht="15.75" customHeight="1">
      <c r="A38" s="24" t="s">
        <v>889</v>
      </c>
      <c r="B38" s="24"/>
    </row>
    <row r="39" ht="15.75" customHeight="1">
      <c r="B39" s="24"/>
    </row>
    <row r="40" ht="15.75" customHeight="1">
      <c r="A40" s="24" t="s">
        <v>587</v>
      </c>
      <c r="B40" s="24" t="s">
        <v>581</v>
      </c>
    </row>
    <row r="41" ht="15.75" customHeight="1">
      <c r="A41" s="24" t="s">
        <v>590</v>
      </c>
      <c r="B41" s="24" t="s">
        <v>584</v>
      </c>
    </row>
    <row r="42" ht="15.75" customHeight="1">
      <c r="A42" s="24" t="s">
        <v>598</v>
      </c>
      <c r="B42" s="24" t="s">
        <v>588</v>
      </c>
    </row>
    <row r="43" ht="15.75" customHeight="1">
      <c r="A43" s="24" t="s">
        <v>602</v>
      </c>
      <c r="B43" s="24" t="s">
        <v>591</v>
      </c>
    </row>
    <row r="44" ht="15.75" customHeight="1">
      <c r="A44" s="24" t="s">
        <v>607</v>
      </c>
      <c r="B44" s="24" t="s">
        <v>594</v>
      </c>
    </row>
    <row r="45" ht="15.75" customHeight="1">
      <c r="A45" s="24" t="s">
        <v>615</v>
      </c>
      <c r="B45" s="24" t="s">
        <v>596</v>
      </c>
    </row>
    <row r="46" ht="15.75" customHeight="1">
      <c r="A46" s="24" t="s">
        <v>620</v>
      </c>
      <c r="B46" s="24" t="s">
        <v>599</v>
      </c>
    </row>
    <row r="47" ht="15.75" customHeight="1">
      <c r="A47" s="24" t="s">
        <v>624</v>
      </c>
      <c r="B47" s="24" t="s">
        <v>603</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6">
    <mergeCell ref="C1:D1"/>
    <mergeCell ref="D2:D6"/>
    <mergeCell ref="D8:D14"/>
    <mergeCell ref="D16:D21"/>
    <mergeCell ref="D23:D25"/>
    <mergeCell ref="D27:D3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0.78"/>
    <col customWidth="1" min="3" max="3" width="75.11"/>
  </cols>
  <sheetData>
    <row r="1">
      <c r="A1" s="23" t="s">
        <v>841</v>
      </c>
      <c r="B1" s="24"/>
      <c r="C1" s="23" t="s">
        <v>0</v>
      </c>
      <c r="D1" s="24"/>
    </row>
    <row r="2">
      <c r="A2" s="28" t="s">
        <v>724</v>
      </c>
      <c r="C2" s="28" t="s">
        <v>723</v>
      </c>
    </row>
    <row r="3">
      <c r="A3" s="28" t="s">
        <v>726</v>
      </c>
      <c r="C3" s="28" t="s">
        <v>725</v>
      </c>
    </row>
    <row r="4">
      <c r="A4" s="28" t="s">
        <v>734</v>
      </c>
      <c r="C4" s="28" t="s">
        <v>733</v>
      </c>
    </row>
    <row r="5">
      <c r="A5" s="28" t="s">
        <v>740</v>
      </c>
      <c r="C5" s="28" t="s">
        <v>739</v>
      </c>
    </row>
    <row r="6">
      <c r="A6" s="28" t="s">
        <v>729</v>
      </c>
      <c r="C6" s="28" t="s">
        <v>729</v>
      </c>
    </row>
    <row r="7">
      <c r="A7" s="28" t="s">
        <v>727</v>
      </c>
      <c r="C7" s="28" t="s">
        <v>727</v>
      </c>
    </row>
    <row r="8">
      <c r="A8" s="28" t="s">
        <v>730</v>
      </c>
      <c r="C8" s="28" t="s">
        <v>730</v>
      </c>
    </row>
    <row r="9">
      <c r="A9" s="28" t="s">
        <v>732</v>
      </c>
      <c r="C9" s="28" t="s">
        <v>731</v>
      </c>
    </row>
    <row r="10">
      <c r="A10" s="28" t="s">
        <v>722</v>
      </c>
      <c r="C10" s="28" t="s">
        <v>721</v>
      </c>
    </row>
    <row r="11">
      <c r="A11" s="28" t="s">
        <v>890</v>
      </c>
      <c r="C11" s="28" t="s">
        <v>891</v>
      </c>
    </row>
    <row r="12">
      <c r="A12" s="28" t="s">
        <v>892</v>
      </c>
      <c r="C12" s="28" t="s">
        <v>893</v>
      </c>
    </row>
    <row r="13">
      <c r="A13" s="28" t="s">
        <v>894</v>
      </c>
      <c r="C13" s="28" t="s">
        <v>895</v>
      </c>
    </row>
    <row r="14">
      <c r="A14" s="28" t="s">
        <v>896</v>
      </c>
      <c r="C14" s="28" t="s">
        <v>897</v>
      </c>
    </row>
    <row r="15">
      <c r="A15" s="28" t="s">
        <v>736</v>
      </c>
      <c r="C15" s="28" t="s">
        <v>735</v>
      </c>
    </row>
    <row r="16">
      <c r="A16" s="28" t="s">
        <v>738</v>
      </c>
      <c r="C16" s="28" t="s">
        <v>737</v>
      </c>
    </row>
    <row r="17">
      <c r="A17" s="28" t="s">
        <v>898</v>
      </c>
      <c r="C17" s="28" t="s">
        <v>899</v>
      </c>
    </row>
    <row r="18">
      <c r="A18" s="28" t="s">
        <v>900</v>
      </c>
      <c r="C18" s="28" t="s">
        <v>901</v>
      </c>
    </row>
    <row r="19">
      <c r="A19" s="28" t="s">
        <v>902</v>
      </c>
      <c r="C19" s="28" t="s">
        <v>903</v>
      </c>
    </row>
    <row r="20">
      <c r="A20" s="28" t="s">
        <v>518</v>
      </c>
      <c r="B20" s="29" t="s">
        <v>517</v>
      </c>
      <c r="C20" s="28" t="s">
        <v>904</v>
      </c>
      <c r="D20" s="30"/>
      <c r="E20" s="31"/>
      <c r="F20" s="30"/>
      <c r="G20" s="30"/>
      <c r="H20" s="29"/>
      <c r="I20" s="30"/>
      <c r="J20" s="29"/>
    </row>
    <row r="21">
      <c r="A21" s="28" t="s">
        <v>522</v>
      </c>
      <c r="B21" s="29" t="s">
        <v>521</v>
      </c>
      <c r="C21" s="28" t="s">
        <v>905</v>
      </c>
      <c r="D21" s="30"/>
      <c r="E21" s="31"/>
      <c r="F21" s="30"/>
      <c r="G21" s="30"/>
      <c r="H21" s="29"/>
      <c r="I21" s="30"/>
      <c r="J21" s="29"/>
    </row>
    <row r="22">
      <c r="A22" s="28" t="s">
        <v>525</v>
      </c>
      <c r="B22" s="29" t="s">
        <v>524</v>
      </c>
      <c r="C22" s="28" t="s">
        <v>906</v>
      </c>
      <c r="D22" s="30"/>
      <c r="E22" s="31"/>
      <c r="F22" s="30"/>
      <c r="G22" s="30"/>
      <c r="H22" s="29"/>
      <c r="I22" s="30"/>
      <c r="J22" s="29"/>
    </row>
    <row r="23">
      <c r="A23" s="28" t="s">
        <v>528</v>
      </c>
      <c r="B23" s="29" t="s">
        <v>527</v>
      </c>
      <c r="C23" s="28" t="s">
        <v>907</v>
      </c>
      <c r="D23" s="30"/>
      <c r="E23" s="31"/>
      <c r="F23" s="30"/>
      <c r="G23" s="30"/>
      <c r="H23" s="29"/>
      <c r="I23" s="30"/>
      <c r="J23" s="29"/>
    </row>
    <row r="24">
      <c r="A24" s="28" t="s">
        <v>532</v>
      </c>
      <c r="B24" s="29" t="s">
        <v>531</v>
      </c>
      <c r="C24" s="28" t="s">
        <v>908</v>
      </c>
      <c r="D24" s="30"/>
      <c r="E24" s="31"/>
      <c r="F24" s="30"/>
      <c r="G24" s="30"/>
      <c r="H24" s="29"/>
      <c r="I24" s="30"/>
      <c r="J24" s="29"/>
    </row>
    <row r="25">
      <c r="A25" s="28" t="s">
        <v>535</v>
      </c>
      <c r="B25" s="29" t="s">
        <v>534</v>
      </c>
      <c r="C25" s="28" t="s">
        <v>909</v>
      </c>
      <c r="D25" s="30"/>
      <c r="E25" s="31"/>
      <c r="F25" s="30"/>
      <c r="G25" s="30"/>
      <c r="H25" s="29"/>
      <c r="I25" s="30"/>
      <c r="J25" s="29"/>
    </row>
    <row r="26">
      <c r="A26" s="28" t="s">
        <v>538</v>
      </c>
      <c r="B26" s="29" t="s">
        <v>537</v>
      </c>
      <c r="C26" s="28" t="s">
        <v>910</v>
      </c>
      <c r="D26" s="30"/>
      <c r="E26" s="31"/>
      <c r="F26" s="30"/>
      <c r="G26" s="30"/>
      <c r="H26" s="29"/>
      <c r="I26" s="30"/>
      <c r="J26" s="29"/>
    </row>
    <row r="27">
      <c r="A27" s="28" t="s">
        <v>541</v>
      </c>
      <c r="B27" s="29" t="s">
        <v>540</v>
      </c>
      <c r="C27" s="28" t="s">
        <v>911</v>
      </c>
      <c r="D27" s="30"/>
      <c r="E27" s="31"/>
      <c r="F27" s="30"/>
      <c r="G27" s="30"/>
      <c r="H27" s="29"/>
      <c r="I27" s="30"/>
      <c r="J27" s="29"/>
    </row>
    <row r="28">
      <c r="A28" s="28" t="s">
        <v>133</v>
      </c>
      <c r="B28" s="29" t="s">
        <v>132</v>
      </c>
      <c r="C28" s="28" t="s">
        <v>912</v>
      </c>
      <c r="E28" s="32"/>
      <c r="F28" s="30"/>
      <c r="G28" s="30"/>
      <c r="H28" s="33"/>
      <c r="I28" s="30"/>
      <c r="J28" s="33"/>
    </row>
    <row r="29">
      <c r="A29" s="28" t="s">
        <v>137</v>
      </c>
      <c r="B29" s="29" t="s">
        <v>136</v>
      </c>
      <c r="C29" s="28" t="s">
        <v>913</v>
      </c>
      <c r="E29" s="32"/>
      <c r="F29" s="30"/>
      <c r="G29" s="30"/>
      <c r="H29" s="33"/>
      <c r="I29" s="30"/>
      <c r="J29" s="33"/>
    </row>
    <row r="30">
      <c r="A30" s="28" t="s">
        <v>141</v>
      </c>
      <c r="B30" s="29" t="s">
        <v>140</v>
      </c>
      <c r="C30" s="28" t="s">
        <v>914</v>
      </c>
      <c r="E30" s="32"/>
      <c r="F30" s="30"/>
      <c r="G30" s="30"/>
      <c r="H30" s="33"/>
      <c r="I30" s="30"/>
      <c r="J30" s="33"/>
    </row>
    <row r="31">
      <c r="A31" s="28" t="s">
        <v>145</v>
      </c>
      <c r="B31" s="30" t="s">
        <v>144</v>
      </c>
      <c r="C31" s="28" t="s">
        <v>915</v>
      </c>
      <c r="E31" s="32"/>
      <c r="F31" s="30"/>
      <c r="G31" s="30"/>
      <c r="H31" s="33"/>
      <c r="I31" s="30"/>
      <c r="J31" s="33"/>
    </row>
    <row r="32">
      <c r="A32" s="28" t="s">
        <v>149</v>
      </c>
      <c r="B32" s="29" t="s">
        <v>148</v>
      </c>
      <c r="C32" s="28" t="s">
        <v>916</v>
      </c>
      <c r="E32" s="32"/>
      <c r="F32" s="30"/>
      <c r="G32" s="30"/>
      <c r="H32" s="33"/>
      <c r="I32" s="30"/>
      <c r="J32" s="33"/>
    </row>
    <row r="33">
      <c r="A33" s="28" t="s">
        <v>153</v>
      </c>
      <c r="B33" s="30" t="s">
        <v>152</v>
      </c>
      <c r="C33" s="28" t="s">
        <v>917</v>
      </c>
      <c r="E33" s="32"/>
      <c r="F33" s="30"/>
      <c r="G33" s="30"/>
      <c r="H33" s="33"/>
      <c r="I33" s="30"/>
      <c r="J33" s="33"/>
    </row>
    <row r="34">
      <c r="A34" s="28" t="s">
        <v>157</v>
      </c>
      <c r="B34" s="29" t="s">
        <v>156</v>
      </c>
      <c r="C34" s="28" t="s">
        <v>918</v>
      </c>
      <c r="E34" s="32"/>
      <c r="F34" s="30"/>
      <c r="G34" s="30"/>
      <c r="H34" s="33"/>
      <c r="I34" s="30"/>
      <c r="J34" s="33"/>
    </row>
    <row r="35">
      <c r="A35" s="28" t="s">
        <v>161</v>
      </c>
      <c r="B35" s="29" t="s">
        <v>160</v>
      </c>
      <c r="C35" s="28" t="s">
        <v>919</v>
      </c>
      <c r="E35" s="32"/>
      <c r="F35" s="30"/>
      <c r="G35" s="30"/>
      <c r="H35" s="33"/>
      <c r="I35" s="30"/>
      <c r="J35" s="33"/>
    </row>
    <row r="36">
      <c r="A36" s="28" t="s">
        <v>166</v>
      </c>
      <c r="B36" s="30" t="s">
        <v>165</v>
      </c>
      <c r="C36" s="28" t="s">
        <v>920</v>
      </c>
      <c r="E36" s="32"/>
      <c r="F36" s="30"/>
      <c r="G36" s="30"/>
      <c r="H36" s="33"/>
      <c r="I36" s="30"/>
      <c r="J36" s="33"/>
    </row>
    <row r="37">
      <c r="A37" s="28" t="s">
        <v>170</v>
      </c>
      <c r="B37" s="29" t="s">
        <v>169</v>
      </c>
      <c r="C37" s="28" t="s">
        <v>921</v>
      </c>
      <c r="E37" s="32"/>
      <c r="F37" s="30"/>
      <c r="G37" s="30"/>
      <c r="H37" s="33"/>
      <c r="I37" s="30"/>
      <c r="J37" s="33"/>
    </row>
    <row r="38">
      <c r="A38" s="28" t="s">
        <v>174</v>
      </c>
      <c r="B38" s="29" t="s">
        <v>173</v>
      </c>
      <c r="C38" s="28" t="s">
        <v>922</v>
      </c>
      <c r="E38" s="32"/>
      <c r="F38" s="30"/>
      <c r="G38" s="30"/>
      <c r="H38" s="33"/>
      <c r="I38" s="30"/>
      <c r="J38" s="33"/>
    </row>
    <row r="39">
      <c r="A39" s="28" t="s">
        <v>178</v>
      </c>
      <c r="B39" s="29" t="s">
        <v>177</v>
      </c>
      <c r="C39" s="28" t="s">
        <v>923</v>
      </c>
      <c r="E39" s="32"/>
      <c r="F39" s="30"/>
      <c r="G39" s="30"/>
      <c r="H39" s="33"/>
      <c r="I39" s="30"/>
      <c r="J39" s="33"/>
    </row>
    <row r="40">
      <c r="A40" s="28" t="s">
        <v>544</v>
      </c>
      <c r="B40" s="29" t="s">
        <v>543</v>
      </c>
      <c r="C40" s="34" t="s">
        <v>924</v>
      </c>
      <c r="E40" s="31"/>
      <c r="F40" s="30"/>
      <c r="G40" s="30"/>
      <c r="H40" s="29"/>
      <c r="I40" s="30"/>
    </row>
    <row r="41">
      <c r="A41" s="28" t="s">
        <v>548</v>
      </c>
      <c r="B41" s="29" t="s">
        <v>547</v>
      </c>
      <c r="C41" s="28" t="s">
        <v>925</v>
      </c>
      <c r="E41" s="31"/>
      <c r="F41" s="30"/>
      <c r="H41" s="29"/>
      <c r="I41" s="30"/>
    </row>
    <row r="42">
      <c r="A42" s="28" t="s">
        <v>551</v>
      </c>
      <c r="B42" s="29" t="s">
        <v>550</v>
      </c>
      <c r="C42" s="28" t="s">
        <v>926</v>
      </c>
      <c r="E42" s="31"/>
      <c r="F42" s="30"/>
      <c r="H42" s="29"/>
      <c r="I42" s="30"/>
    </row>
    <row r="43">
      <c r="A43" s="28" t="s">
        <v>555</v>
      </c>
      <c r="B43" s="29" t="s">
        <v>554</v>
      </c>
      <c r="C43" s="28" t="s">
        <v>927</v>
      </c>
      <c r="E43" s="31"/>
      <c r="F43" s="30"/>
      <c r="H43" s="29"/>
      <c r="I43" s="30"/>
    </row>
    <row r="44">
      <c r="A44" s="28" t="s">
        <v>558</v>
      </c>
      <c r="B44" s="29" t="s">
        <v>557</v>
      </c>
      <c r="C44" s="28" t="s">
        <v>928</v>
      </c>
      <c r="E44" s="31"/>
      <c r="F44" s="30"/>
      <c r="H44" s="29"/>
      <c r="I44" s="30"/>
    </row>
    <row r="45">
      <c r="A45" s="28" t="s">
        <v>561</v>
      </c>
      <c r="B45" s="29" t="s">
        <v>560</v>
      </c>
      <c r="C45" s="28" t="s">
        <v>929</v>
      </c>
      <c r="E45" s="31"/>
      <c r="F45" s="30"/>
      <c r="H45" s="29"/>
      <c r="I45" s="30"/>
    </row>
    <row r="46">
      <c r="A46" s="28" t="s">
        <v>574</v>
      </c>
      <c r="B46" s="29" t="s">
        <v>573</v>
      </c>
      <c r="C46" s="34" t="s">
        <v>930</v>
      </c>
      <c r="D46" s="30"/>
      <c r="E46" s="32"/>
      <c r="F46" s="30"/>
      <c r="H46" s="33"/>
      <c r="I46" s="30"/>
      <c r="J46" s="33"/>
    </row>
    <row r="47">
      <c r="A47" s="28" t="s">
        <v>579</v>
      </c>
      <c r="B47" s="29" t="s">
        <v>578</v>
      </c>
      <c r="C47" s="28" t="s">
        <v>931</v>
      </c>
      <c r="D47" s="30"/>
      <c r="E47" s="32"/>
      <c r="F47" s="30"/>
      <c r="G47" s="30"/>
      <c r="H47" s="33"/>
      <c r="I47" s="30"/>
      <c r="J47" s="33"/>
    </row>
    <row r="48">
      <c r="A48" s="28" t="s">
        <v>26</v>
      </c>
      <c r="B48" s="29" t="s">
        <v>18</v>
      </c>
      <c r="C48" s="28" t="s">
        <v>932</v>
      </c>
      <c r="D48" s="30"/>
      <c r="E48" s="32"/>
      <c r="F48" s="30"/>
      <c r="G48" s="30"/>
      <c r="H48" s="33"/>
      <c r="I48" s="30"/>
      <c r="J48" s="33"/>
    </row>
    <row r="49">
      <c r="A49" s="28" t="s">
        <v>30</v>
      </c>
      <c r="B49" s="30" t="s">
        <v>29</v>
      </c>
      <c r="C49" s="28" t="s">
        <v>933</v>
      </c>
      <c r="D49" s="30"/>
      <c r="E49" s="32"/>
      <c r="F49" s="30"/>
      <c r="G49" s="30"/>
      <c r="H49" s="33"/>
      <c r="I49" s="30"/>
      <c r="J49" s="33"/>
    </row>
    <row r="50">
      <c r="A50" s="28" t="s">
        <v>34</v>
      </c>
      <c r="B50" s="30" t="s">
        <v>33</v>
      </c>
      <c r="C50" s="28" t="s">
        <v>934</v>
      </c>
      <c r="D50" s="30"/>
      <c r="E50" s="32"/>
      <c r="F50" s="30"/>
      <c r="G50" s="30"/>
      <c r="H50" s="33"/>
      <c r="I50" s="30"/>
      <c r="J50" s="33"/>
    </row>
    <row r="51">
      <c r="A51" s="28" t="s">
        <v>37</v>
      </c>
      <c r="B51" s="30" t="s">
        <v>36</v>
      </c>
      <c r="C51" s="28" t="s">
        <v>935</v>
      </c>
      <c r="D51" s="30"/>
      <c r="E51" s="32"/>
      <c r="F51" s="30"/>
      <c r="G51" s="30"/>
      <c r="H51" s="33"/>
      <c r="I51" s="30"/>
      <c r="J51" s="33"/>
    </row>
    <row r="52">
      <c r="A52" s="28" t="s">
        <v>42</v>
      </c>
      <c r="B52" s="30" t="s">
        <v>41</v>
      </c>
      <c r="C52" s="28" t="s">
        <v>936</v>
      </c>
      <c r="D52" s="30"/>
      <c r="E52" s="32"/>
      <c r="F52" s="30"/>
      <c r="G52" s="30"/>
      <c r="H52" s="33"/>
      <c r="I52" s="30"/>
      <c r="J52" s="33"/>
    </row>
    <row r="53">
      <c r="A53" s="28" t="s">
        <v>56</v>
      </c>
      <c r="B53" s="29" t="s">
        <v>55</v>
      </c>
      <c r="C53" s="28" t="s">
        <v>937</v>
      </c>
      <c r="D53" s="30"/>
      <c r="E53" s="32"/>
      <c r="F53" s="30"/>
      <c r="G53" s="30"/>
      <c r="H53" s="33"/>
      <c r="I53" s="30"/>
      <c r="J53" s="33"/>
    </row>
    <row r="54">
      <c r="A54" s="28" t="s">
        <v>62</v>
      </c>
      <c r="B54" s="30" t="s">
        <v>61</v>
      </c>
      <c r="C54" s="28" t="s">
        <v>59</v>
      </c>
      <c r="D54" s="30"/>
      <c r="E54" s="32"/>
      <c r="F54" s="30"/>
      <c r="G54" s="30"/>
      <c r="H54" s="33"/>
      <c r="I54" s="30"/>
      <c r="J54" s="33"/>
    </row>
    <row r="55">
      <c r="A55" s="28" t="s">
        <v>66</v>
      </c>
      <c r="B55" s="30" t="s">
        <v>65</v>
      </c>
      <c r="C55" s="28" t="s">
        <v>938</v>
      </c>
      <c r="D55" s="30"/>
      <c r="E55" s="32"/>
      <c r="F55" s="30"/>
      <c r="G55" s="30"/>
      <c r="H55" s="33"/>
      <c r="I55" s="30"/>
      <c r="J55" s="33"/>
    </row>
    <row r="56">
      <c r="A56" s="28" t="s">
        <v>71</v>
      </c>
      <c r="B56" s="30" t="s">
        <v>70</v>
      </c>
      <c r="C56" s="28" t="s">
        <v>939</v>
      </c>
      <c r="D56" s="30"/>
      <c r="E56" s="32"/>
      <c r="F56" s="30"/>
      <c r="G56" s="30"/>
      <c r="H56" s="33"/>
      <c r="I56" s="30"/>
      <c r="J56" s="33"/>
    </row>
    <row r="57">
      <c r="A57" s="28" t="s">
        <v>74</v>
      </c>
      <c r="B57" s="29" t="s">
        <v>73</v>
      </c>
      <c r="C57" s="28" t="s">
        <v>940</v>
      </c>
      <c r="D57" s="30"/>
      <c r="E57" s="32"/>
      <c r="F57" s="30"/>
      <c r="G57" s="30"/>
      <c r="H57" s="33"/>
      <c r="I57" s="30"/>
      <c r="J57" s="33"/>
    </row>
    <row r="58">
      <c r="A58" s="28" t="s">
        <v>77</v>
      </c>
      <c r="B58" s="29" t="s">
        <v>76</v>
      </c>
      <c r="C58" s="28" t="s">
        <v>941</v>
      </c>
      <c r="D58" s="30"/>
      <c r="E58" s="32"/>
      <c r="F58" s="30"/>
      <c r="G58" s="30"/>
      <c r="H58" s="33"/>
      <c r="I58" s="30"/>
      <c r="J58" s="33"/>
    </row>
    <row r="59">
      <c r="A59" s="28" t="s">
        <v>82</v>
      </c>
      <c r="B59" s="29" t="s">
        <v>81</v>
      </c>
      <c r="C59" s="28" t="s">
        <v>942</v>
      </c>
      <c r="D59" s="30"/>
      <c r="E59" s="32"/>
      <c r="F59" s="30"/>
      <c r="G59" s="30"/>
      <c r="H59" s="33"/>
      <c r="I59" s="30"/>
      <c r="J59" s="33"/>
    </row>
    <row r="60">
      <c r="A60" s="28" t="s">
        <v>88</v>
      </c>
      <c r="B60" s="30" t="s">
        <v>87</v>
      </c>
      <c r="C60" s="28" t="s">
        <v>943</v>
      </c>
      <c r="D60" s="30"/>
      <c r="E60" s="32"/>
      <c r="F60" s="30"/>
      <c r="G60" s="30"/>
      <c r="H60" s="33"/>
      <c r="I60" s="30"/>
      <c r="J60" s="33"/>
    </row>
    <row r="61">
      <c r="A61" s="28" t="s">
        <v>91</v>
      </c>
      <c r="B61" s="30" t="s">
        <v>90</v>
      </c>
      <c r="C61" s="28" t="s">
        <v>944</v>
      </c>
      <c r="D61" s="30"/>
      <c r="E61" s="32"/>
      <c r="F61" s="30"/>
      <c r="G61" s="30"/>
      <c r="H61" s="33"/>
      <c r="I61" s="30"/>
      <c r="J61" s="33"/>
    </row>
    <row r="62">
      <c r="A62" s="28" t="s">
        <v>95</v>
      </c>
      <c r="B62" s="30" t="s">
        <v>94</v>
      </c>
      <c r="C62" s="28" t="s">
        <v>945</v>
      </c>
      <c r="D62" s="30"/>
      <c r="E62" s="32"/>
      <c r="F62" s="30"/>
      <c r="G62" s="30"/>
      <c r="H62" s="33"/>
      <c r="I62" s="30"/>
      <c r="J62" s="33"/>
    </row>
    <row r="63">
      <c r="A63" s="28" t="s">
        <v>98</v>
      </c>
      <c r="B63" s="29" t="s">
        <v>97</v>
      </c>
      <c r="C63" s="28" t="s">
        <v>946</v>
      </c>
      <c r="D63" s="30"/>
      <c r="E63" s="32"/>
      <c r="F63" s="30"/>
      <c r="G63" s="30"/>
      <c r="H63" s="33"/>
      <c r="I63" s="30"/>
      <c r="J63" s="33"/>
    </row>
    <row r="64">
      <c r="A64" s="28" t="s">
        <v>101</v>
      </c>
      <c r="B64" s="29" t="s">
        <v>100</v>
      </c>
      <c r="C64" s="28" t="s">
        <v>947</v>
      </c>
      <c r="D64" s="30"/>
      <c r="E64" s="32"/>
      <c r="F64" s="30"/>
      <c r="G64" s="30"/>
      <c r="H64" s="33"/>
      <c r="I64" s="30"/>
      <c r="J64" s="33"/>
    </row>
    <row r="65">
      <c r="A65" s="28" t="s">
        <v>105</v>
      </c>
      <c r="B65" s="29" t="s">
        <v>104</v>
      </c>
      <c r="C65" s="28" t="s">
        <v>948</v>
      </c>
      <c r="D65" s="30"/>
      <c r="E65" s="32"/>
      <c r="F65" s="30"/>
      <c r="G65" s="30"/>
      <c r="H65" s="33"/>
      <c r="I65" s="30"/>
      <c r="J65" s="33"/>
    </row>
    <row r="66">
      <c r="A66" s="28" t="s">
        <v>237</v>
      </c>
      <c r="B66" s="29" t="s">
        <v>236</v>
      </c>
      <c r="C66" s="28" t="s">
        <v>949</v>
      </c>
      <c r="D66" s="30"/>
      <c r="E66" s="32"/>
      <c r="F66" s="30"/>
      <c r="G66" s="30"/>
      <c r="H66" s="33"/>
      <c r="I66" s="30"/>
      <c r="J66" s="33"/>
    </row>
    <row r="67">
      <c r="A67" s="28" t="s">
        <v>242</v>
      </c>
      <c r="B67" s="30" t="s">
        <v>241</v>
      </c>
      <c r="C67" s="28" t="s">
        <v>950</v>
      </c>
      <c r="D67" s="30"/>
      <c r="E67" s="32"/>
      <c r="F67" s="30"/>
      <c r="G67" s="30"/>
      <c r="H67" s="33"/>
      <c r="I67" s="30"/>
      <c r="J67" s="33"/>
    </row>
    <row r="68">
      <c r="A68" s="28" t="s">
        <v>246</v>
      </c>
      <c r="B68" s="29" t="s">
        <v>245</v>
      </c>
      <c r="C68" s="28" t="s">
        <v>951</v>
      </c>
      <c r="D68" s="30"/>
      <c r="E68" s="32"/>
      <c r="F68" s="30"/>
      <c r="G68" s="30"/>
      <c r="H68" s="33"/>
      <c r="I68" s="30"/>
      <c r="J68" s="33"/>
    </row>
    <row r="69">
      <c r="A69" s="28" t="s">
        <v>250</v>
      </c>
      <c r="B69" s="30" t="s">
        <v>249</v>
      </c>
      <c r="C69" s="28" t="s">
        <v>952</v>
      </c>
      <c r="D69" s="30"/>
      <c r="E69" s="32"/>
      <c r="F69" s="30"/>
      <c r="G69" s="30"/>
      <c r="H69" s="33"/>
      <c r="I69" s="30"/>
      <c r="J69" s="33"/>
    </row>
    <row r="70">
      <c r="A70" s="28" t="s">
        <v>254</v>
      </c>
      <c r="B70" s="29" t="s">
        <v>253</v>
      </c>
      <c r="C70" s="28" t="s">
        <v>953</v>
      </c>
      <c r="D70" s="30"/>
      <c r="E70" s="32"/>
      <c r="F70" s="30"/>
      <c r="G70" s="30"/>
      <c r="H70" s="33"/>
      <c r="I70" s="30"/>
      <c r="J70" s="33"/>
    </row>
    <row r="71">
      <c r="A71" s="28" t="s">
        <v>258</v>
      </c>
      <c r="B71" s="29" t="s">
        <v>257</v>
      </c>
      <c r="C71" s="28" t="s">
        <v>954</v>
      </c>
      <c r="D71" s="30"/>
      <c r="E71" s="32"/>
      <c r="F71" s="30"/>
      <c r="G71" s="30"/>
      <c r="H71" s="33"/>
      <c r="I71" s="30"/>
      <c r="J71" s="33"/>
    </row>
    <row r="72">
      <c r="A72" s="28" t="s">
        <v>264</v>
      </c>
      <c r="B72" s="30" t="s">
        <v>263</v>
      </c>
      <c r="C72" s="28" t="s">
        <v>955</v>
      </c>
      <c r="D72" s="30"/>
      <c r="E72" s="32"/>
      <c r="F72" s="30"/>
      <c r="G72" s="30"/>
      <c r="H72" s="33"/>
      <c r="I72" s="30"/>
      <c r="J72" s="33"/>
    </row>
    <row r="73">
      <c r="A73" s="28" t="s">
        <v>268</v>
      </c>
      <c r="B73" s="29" t="s">
        <v>267</v>
      </c>
      <c r="C73" s="28" t="s">
        <v>956</v>
      </c>
      <c r="D73" s="30"/>
      <c r="E73" s="32"/>
      <c r="F73" s="30"/>
      <c r="G73" s="30"/>
      <c r="H73" s="33"/>
      <c r="I73" s="30"/>
      <c r="J73" s="33"/>
    </row>
    <row r="74">
      <c r="A74" s="28" t="s">
        <v>109</v>
      </c>
      <c r="B74" s="30" t="s">
        <v>108</v>
      </c>
      <c r="C74" s="28" t="s">
        <v>957</v>
      </c>
      <c r="D74" s="30"/>
      <c r="E74" s="32"/>
      <c r="F74" s="30"/>
      <c r="G74" s="30"/>
      <c r="H74" s="33"/>
      <c r="I74" s="30"/>
      <c r="J74" s="33"/>
    </row>
    <row r="75">
      <c r="A75" s="28" t="s">
        <v>117</v>
      </c>
      <c r="B75" s="30" t="s">
        <v>113</v>
      </c>
      <c r="C75" s="28" t="s">
        <v>958</v>
      </c>
      <c r="D75" s="30"/>
      <c r="E75" s="32"/>
      <c r="F75" s="30"/>
      <c r="G75" s="30"/>
      <c r="H75" s="33"/>
      <c r="I75" s="30"/>
      <c r="J75" s="33"/>
    </row>
    <row r="76">
      <c r="A76" s="28" t="s">
        <v>121</v>
      </c>
      <c r="B76" s="30" t="s">
        <v>80</v>
      </c>
      <c r="C76" s="28" t="s">
        <v>959</v>
      </c>
      <c r="D76" s="30"/>
      <c r="E76" s="32"/>
      <c r="F76" s="30"/>
      <c r="G76" s="30"/>
      <c r="H76" s="33"/>
      <c r="I76" s="30"/>
      <c r="J76" s="33"/>
    </row>
    <row r="77">
      <c r="A77" s="28" t="s">
        <v>127</v>
      </c>
      <c r="B77" s="30" t="s">
        <v>93</v>
      </c>
      <c r="C77" s="28" t="s">
        <v>960</v>
      </c>
      <c r="D77" s="30"/>
      <c r="E77" s="32"/>
      <c r="F77" s="30"/>
      <c r="G77" s="30"/>
      <c r="H77" s="33"/>
      <c r="I77" s="30"/>
      <c r="J77" s="33"/>
    </row>
    <row r="78">
      <c r="A78" s="28" t="s">
        <v>181</v>
      </c>
      <c r="B78" s="30" t="s">
        <v>180</v>
      </c>
      <c r="C78" s="28" t="s">
        <v>961</v>
      </c>
      <c r="D78" s="30"/>
      <c r="E78" s="32"/>
      <c r="F78" s="30"/>
      <c r="G78" s="30"/>
      <c r="H78" s="33"/>
      <c r="I78" s="30"/>
      <c r="J78" s="33"/>
    </row>
    <row r="79">
      <c r="A79" s="28" t="s">
        <v>185</v>
      </c>
      <c r="B79" s="30" t="s">
        <v>184</v>
      </c>
      <c r="C79" s="28" t="s">
        <v>962</v>
      </c>
      <c r="D79" s="30"/>
      <c r="E79" s="32"/>
      <c r="F79" s="30"/>
      <c r="G79" s="30"/>
      <c r="H79" s="33"/>
      <c r="I79" s="30"/>
      <c r="J79" s="33"/>
    </row>
    <row r="80">
      <c r="A80" s="28" t="s">
        <v>189</v>
      </c>
      <c r="B80" s="30" t="s">
        <v>188</v>
      </c>
      <c r="C80" s="28" t="s">
        <v>963</v>
      </c>
      <c r="D80" s="30"/>
      <c r="E80" s="32"/>
      <c r="F80" s="30"/>
      <c r="G80" s="30"/>
      <c r="H80" s="33"/>
      <c r="I80" s="30"/>
      <c r="J80" s="33"/>
    </row>
    <row r="81">
      <c r="A81" s="28" t="s">
        <v>193</v>
      </c>
      <c r="B81" s="30" t="s">
        <v>192</v>
      </c>
      <c r="C81" s="28" t="s">
        <v>964</v>
      </c>
      <c r="D81" s="30"/>
      <c r="E81" s="32"/>
      <c r="F81" s="30"/>
      <c r="G81" s="30"/>
      <c r="H81" s="33"/>
      <c r="I81" s="30"/>
      <c r="J81" s="33"/>
    </row>
    <row r="82">
      <c r="A82" s="28" t="s">
        <v>196</v>
      </c>
      <c r="B82" s="30" t="s">
        <v>195</v>
      </c>
      <c r="C82" s="28" t="s">
        <v>965</v>
      </c>
      <c r="D82" s="30"/>
      <c r="E82" s="32"/>
      <c r="F82" s="30"/>
      <c r="G82" s="30"/>
      <c r="H82" s="33"/>
      <c r="I82" s="30"/>
      <c r="J82" s="33"/>
    </row>
    <row r="83">
      <c r="A83" s="28" t="s">
        <v>205</v>
      </c>
      <c r="B83" s="29" t="s">
        <v>204</v>
      </c>
      <c r="C83" s="28" t="s">
        <v>966</v>
      </c>
      <c r="D83" s="30"/>
      <c r="E83" s="32"/>
      <c r="F83" s="30"/>
      <c r="G83" s="30"/>
      <c r="H83" s="33"/>
      <c r="I83" s="30"/>
      <c r="J83" s="33"/>
    </row>
    <row r="84">
      <c r="A84" s="28" t="s">
        <v>209</v>
      </c>
      <c r="B84" s="30" t="s">
        <v>208</v>
      </c>
      <c r="C84" s="28" t="s">
        <v>967</v>
      </c>
      <c r="D84" s="30"/>
      <c r="E84" s="32"/>
      <c r="F84" s="30"/>
      <c r="G84" s="30"/>
      <c r="H84" s="33"/>
      <c r="I84" s="30"/>
      <c r="J84" s="33"/>
    </row>
    <row r="85">
      <c r="A85" s="28" t="s">
        <v>212</v>
      </c>
      <c r="B85" s="29" t="s">
        <v>211</v>
      </c>
      <c r="C85" s="28" t="s">
        <v>968</v>
      </c>
      <c r="D85" s="30"/>
      <c r="E85" s="32"/>
      <c r="F85" s="30"/>
      <c r="G85" s="30"/>
      <c r="H85" s="33"/>
      <c r="I85" s="30"/>
      <c r="J85" s="33"/>
    </row>
    <row r="86">
      <c r="A86" s="28" t="s">
        <v>216</v>
      </c>
      <c r="B86" s="30" t="s">
        <v>215</v>
      </c>
      <c r="C86" s="28" t="s">
        <v>969</v>
      </c>
      <c r="D86" s="30"/>
      <c r="E86" s="32"/>
      <c r="F86" s="30"/>
      <c r="G86" s="30"/>
      <c r="H86" s="33"/>
      <c r="I86" s="30"/>
      <c r="J86" s="33"/>
    </row>
    <row r="87">
      <c r="A87" s="28" t="s">
        <v>219</v>
      </c>
      <c r="B87" s="30" t="s">
        <v>218</v>
      </c>
      <c r="C87" s="28" t="s">
        <v>970</v>
      </c>
      <c r="D87" s="30"/>
      <c r="E87" s="32"/>
      <c r="F87" s="30"/>
      <c r="G87" s="30"/>
      <c r="H87" s="33"/>
      <c r="I87" s="30"/>
      <c r="J87" s="33"/>
    </row>
    <row r="88">
      <c r="A88" s="28" t="s">
        <v>222</v>
      </c>
      <c r="B88" s="30" t="s">
        <v>221</v>
      </c>
      <c r="C88" s="28" t="s">
        <v>971</v>
      </c>
      <c r="D88" s="30"/>
      <c r="E88" s="32"/>
      <c r="F88" s="30"/>
      <c r="G88" s="30"/>
      <c r="H88" s="33"/>
      <c r="I88" s="30"/>
      <c r="J88" s="33"/>
    </row>
    <row r="89">
      <c r="A89" s="28" t="s">
        <v>274</v>
      </c>
      <c r="B89" s="29" t="s">
        <v>273</v>
      </c>
      <c r="C89" s="28" t="s">
        <v>972</v>
      </c>
      <c r="D89" s="30"/>
      <c r="E89" s="32"/>
      <c r="F89" s="30"/>
      <c r="G89" s="30"/>
      <c r="H89" s="33"/>
      <c r="I89" s="30"/>
      <c r="J89" s="33"/>
    </row>
    <row r="90">
      <c r="A90" s="28" t="s">
        <v>279</v>
      </c>
      <c r="B90" s="30" t="s">
        <v>278</v>
      </c>
      <c r="C90" s="28" t="s">
        <v>973</v>
      </c>
      <c r="D90" s="30"/>
      <c r="E90" s="32"/>
      <c r="F90" s="30"/>
      <c r="G90" s="30"/>
      <c r="H90" s="33"/>
      <c r="I90" s="30"/>
      <c r="J90" s="33"/>
    </row>
    <row r="91">
      <c r="A91" s="28" t="s">
        <v>283</v>
      </c>
      <c r="B91" s="29" t="s">
        <v>282</v>
      </c>
      <c r="C91" s="28" t="s">
        <v>974</v>
      </c>
      <c r="D91" s="30"/>
      <c r="E91" s="32"/>
      <c r="F91" s="30"/>
      <c r="G91" s="30"/>
      <c r="H91" s="33"/>
      <c r="I91" s="30"/>
      <c r="J91" s="33"/>
    </row>
    <row r="92">
      <c r="A92" s="28" t="s">
        <v>288</v>
      </c>
      <c r="B92" s="29" t="s">
        <v>287</v>
      </c>
      <c r="C92" s="28" t="s">
        <v>975</v>
      </c>
      <c r="D92" s="30"/>
      <c r="E92" s="32"/>
      <c r="F92" s="30"/>
      <c r="G92" s="30"/>
      <c r="H92" s="33"/>
      <c r="I92" s="30"/>
      <c r="J92" s="33"/>
    </row>
    <row r="93">
      <c r="A93" s="28" t="s">
        <v>292</v>
      </c>
      <c r="B93" s="29" t="s">
        <v>291</v>
      </c>
      <c r="C93" s="28" t="s">
        <v>976</v>
      </c>
      <c r="D93" s="30"/>
      <c r="E93" s="32"/>
      <c r="F93" s="30"/>
      <c r="G93" s="30"/>
      <c r="H93" s="33"/>
      <c r="I93" s="30"/>
      <c r="J93" s="33"/>
    </row>
    <row r="94">
      <c r="A94" s="28" t="s">
        <v>297</v>
      </c>
      <c r="B94" s="30" t="s">
        <v>296</v>
      </c>
      <c r="C94" s="28" t="s">
        <v>977</v>
      </c>
      <c r="D94" s="30"/>
      <c r="E94" s="32"/>
      <c r="F94" s="30"/>
      <c r="G94" s="30"/>
      <c r="H94" s="33"/>
      <c r="I94" s="30"/>
      <c r="J94" s="33"/>
    </row>
    <row r="95">
      <c r="A95" s="28" t="s">
        <v>493</v>
      </c>
      <c r="B95" s="30" t="s">
        <v>492</v>
      </c>
      <c r="C95" s="28" t="s">
        <v>978</v>
      </c>
      <c r="D95" s="30"/>
      <c r="E95" s="32"/>
      <c r="F95" s="30"/>
      <c r="G95" s="30"/>
      <c r="H95" s="33"/>
      <c r="I95" s="30"/>
      <c r="J95" s="33"/>
    </row>
    <row r="96">
      <c r="A96" s="28" t="s">
        <v>499</v>
      </c>
      <c r="B96" s="30" t="s">
        <v>498</v>
      </c>
      <c r="C96" s="28" t="s">
        <v>979</v>
      </c>
      <c r="D96" s="30"/>
      <c r="E96" s="32"/>
      <c r="F96" s="30"/>
      <c r="G96" s="30"/>
      <c r="H96" s="33"/>
      <c r="I96" s="30"/>
      <c r="J96" s="33"/>
    </row>
    <row r="97">
      <c r="A97" s="28" t="s">
        <v>503</v>
      </c>
      <c r="B97" s="29" t="s">
        <v>502</v>
      </c>
      <c r="C97" s="28" t="s">
        <v>980</v>
      </c>
      <c r="D97" s="30"/>
      <c r="E97" s="32"/>
      <c r="F97" s="30"/>
      <c r="G97" s="30"/>
      <c r="H97" s="33"/>
      <c r="I97" s="30"/>
      <c r="J97" s="33"/>
    </row>
    <row r="98">
      <c r="A98" s="28" t="s">
        <v>507</v>
      </c>
      <c r="B98" s="30" t="s">
        <v>506</v>
      </c>
      <c r="C98" s="28" t="s">
        <v>981</v>
      </c>
      <c r="D98" s="30"/>
      <c r="E98" s="32"/>
      <c r="F98" s="30"/>
      <c r="G98" s="30"/>
      <c r="H98" s="33"/>
      <c r="I98" s="30"/>
      <c r="J98" s="33"/>
    </row>
    <row r="99">
      <c r="A99" s="28" t="s">
        <v>511</v>
      </c>
      <c r="B99" s="30" t="s">
        <v>510</v>
      </c>
      <c r="C99" s="28" t="s">
        <v>982</v>
      </c>
      <c r="D99" s="30"/>
      <c r="E99" s="32"/>
      <c r="F99" s="30"/>
      <c r="G99" s="30"/>
      <c r="H99" s="33"/>
      <c r="I99" s="30"/>
      <c r="J99" s="33"/>
    </row>
    <row r="100">
      <c r="A100" s="28" t="s">
        <v>515</v>
      </c>
      <c r="B100" s="29" t="s">
        <v>514</v>
      </c>
      <c r="C100" s="28" t="s">
        <v>983</v>
      </c>
      <c r="D100" s="30"/>
      <c r="E100" s="32"/>
      <c r="F100" s="30"/>
      <c r="G100" s="30"/>
      <c r="H100" s="33"/>
      <c r="I100" s="30"/>
      <c r="J100" s="33"/>
    </row>
    <row r="101">
      <c r="A101" s="28" t="s">
        <v>466</v>
      </c>
      <c r="B101" s="29" t="s">
        <v>465</v>
      </c>
      <c r="C101" s="28" t="s">
        <v>984</v>
      </c>
      <c r="D101" s="30"/>
      <c r="E101" s="32"/>
      <c r="F101" s="30"/>
      <c r="G101" s="30"/>
      <c r="H101" s="33"/>
      <c r="I101" s="30"/>
      <c r="J101" s="33"/>
    </row>
    <row r="102">
      <c r="A102" s="28" t="s">
        <v>472</v>
      </c>
      <c r="B102" s="29" t="s">
        <v>471</v>
      </c>
      <c r="C102" s="28" t="s">
        <v>985</v>
      </c>
      <c r="D102" s="30"/>
      <c r="E102" s="32"/>
      <c r="F102" s="30"/>
      <c r="G102" s="30"/>
      <c r="H102" s="33"/>
      <c r="I102" s="30"/>
      <c r="J102" s="33"/>
    </row>
    <row r="103">
      <c r="A103" s="28" t="s">
        <v>476</v>
      </c>
      <c r="B103" s="29" t="s">
        <v>475</v>
      </c>
      <c r="C103" s="28" t="s">
        <v>986</v>
      </c>
      <c r="D103" s="30"/>
      <c r="E103" s="32"/>
      <c r="F103" s="30"/>
      <c r="G103" s="30"/>
      <c r="H103" s="33"/>
      <c r="I103" s="30"/>
      <c r="J103" s="33"/>
    </row>
    <row r="104">
      <c r="A104" s="28" t="s">
        <v>481</v>
      </c>
      <c r="B104" s="29" t="s">
        <v>480</v>
      </c>
      <c r="C104" s="28" t="s">
        <v>987</v>
      </c>
      <c r="D104" s="30"/>
      <c r="E104" s="32"/>
      <c r="F104" s="30"/>
      <c r="G104" s="30"/>
      <c r="H104" s="33"/>
      <c r="I104" s="30"/>
      <c r="J104" s="33"/>
    </row>
    <row r="105">
      <c r="A105" s="28" t="s">
        <v>485</v>
      </c>
      <c r="B105" s="29" t="s">
        <v>484</v>
      </c>
      <c r="C105" s="28" t="s">
        <v>988</v>
      </c>
      <c r="D105" s="30"/>
      <c r="E105" s="32"/>
      <c r="F105" s="30"/>
      <c r="G105" s="30"/>
      <c r="H105" s="33"/>
      <c r="I105" s="30"/>
      <c r="J105" s="33"/>
    </row>
    <row r="106">
      <c r="A106" s="28" t="s">
        <v>489</v>
      </c>
      <c r="B106" s="29" t="s">
        <v>488</v>
      </c>
      <c r="C106" s="28" t="s">
        <v>989</v>
      </c>
      <c r="D106" s="30"/>
      <c r="E106" s="32"/>
      <c r="F106" s="30"/>
      <c r="G106" s="30"/>
      <c r="H106" s="33"/>
      <c r="I106" s="30"/>
      <c r="J106" s="33"/>
    </row>
    <row r="107">
      <c r="A107" s="28" t="s">
        <v>431</v>
      </c>
      <c r="B107" s="29" t="s">
        <v>430</v>
      </c>
      <c r="C107" s="28" t="s">
        <v>990</v>
      </c>
      <c r="D107" s="30"/>
      <c r="E107" s="32"/>
      <c r="F107" s="30"/>
      <c r="G107" s="30"/>
      <c r="H107" s="33"/>
      <c r="I107" s="30"/>
      <c r="J107" s="33"/>
    </row>
    <row r="108">
      <c r="A108" s="28" t="s">
        <v>437</v>
      </c>
      <c r="B108" s="30" t="s">
        <v>436</v>
      </c>
      <c r="C108" s="28" t="s">
        <v>991</v>
      </c>
      <c r="D108" s="30"/>
      <c r="E108" s="32"/>
      <c r="F108" s="30"/>
      <c r="G108" s="30"/>
      <c r="H108" s="33"/>
      <c r="I108" s="30"/>
      <c r="J108" s="33"/>
    </row>
    <row r="109">
      <c r="A109" s="28" t="s">
        <v>441</v>
      </c>
      <c r="B109" s="30" t="s">
        <v>440</v>
      </c>
      <c r="C109" s="28" t="s">
        <v>992</v>
      </c>
      <c r="D109" s="30"/>
      <c r="E109" s="32"/>
      <c r="F109" s="30"/>
      <c r="G109" s="30"/>
      <c r="H109" s="33"/>
      <c r="I109" s="30"/>
      <c r="J109" s="33"/>
    </row>
    <row r="110">
      <c r="A110" s="28" t="s">
        <v>445</v>
      </c>
      <c r="B110" s="30" t="s">
        <v>444</v>
      </c>
      <c r="C110" s="28" t="s">
        <v>993</v>
      </c>
      <c r="D110" s="30"/>
      <c r="E110" s="32"/>
      <c r="F110" s="30"/>
      <c r="G110" s="30"/>
      <c r="H110" s="33"/>
      <c r="I110" s="30"/>
      <c r="J110" s="33"/>
    </row>
    <row r="111">
      <c r="A111" s="28" t="s">
        <v>449</v>
      </c>
      <c r="B111" s="29" t="s">
        <v>448</v>
      </c>
      <c r="C111" s="28" t="s">
        <v>994</v>
      </c>
      <c r="D111" s="30"/>
      <c r="E111" s="32"/>
      <c r="F111" s="30"/>
      <c r="G111" s="30"/>
      <c r="H111" s="33"/>
      <c r="I111" s="30"/>
      <c r="J111" s="33"/>
    </row>
    <row r="112">
      <c r="A112" s="28" t="s">
        <v>454</v>
      </c>
      <c r="B112" s="29" t="s">
        <v>453</v>
      </c>
      <c r="C112" s="28" t="s">
        <v>995</v>
      </c>
      <c r="D112" s="30"/>
      <c r="E112" s="32"/>
      <c r="F112" s="30"/>
      <c r="G112" s="30"/>
      <c r="H112" s="33"/>
      <c r="I112" s="30"/>
      <c r="J112" s="33"/>
    </row>
    <row r="113">
      <c r="A113" s="28" t="s">
        <v>458</v>
      </c>
      <c r="B113" s="29" t="s">
        <v>457</v>
      </c>
      <c r="C113" s="28" t="s">
        <v>996</v>
      </c>
      <c r="D113" s="30"/>
      <c r="E113" s="32"/>
      <c r="F113" s="30"/>
      <c r="G113" s="30"/>
      <c r="H113" s="33"/>
      <c r="I113" s="30"/>
      <c r="J113" s="33"/>
    </row>
    <row r="114">
      <c r="A114" s="28" t="s">
        <v>462</v>
      </c>
      <c r="B114" s="29" t="s">
        <v>461</v>
      </c>
      <c r="C114" s="28" t="s">
        <v>997</v>
      </c>
      <c r="D114" s="30"/>
      <c r="E114" s="32"/>
      <c r="F114" s="30"/>
      <c r="G114" s="30"/>
      <c r="H114" s="33"/>
      <c r="I114" s="30"/>
      <c r="J114" s="33"/>
    </row>
    <row r="115">
      <c r="A115" s="28" t="s">
        <v>302</v>
      </c>
      <c r="B115" s="30" t="s">
        <v>301</v>
      </c>
      <c r="C115" s="28" t="s">
        <v>998</v>
      </c>
      <c r="D115" s="30"/>
      <c r="E115" s="32"/>
      <c r="F115" s="30"/>
      <c r="G115" s="30"/>
      <c r="H115" s="33"/>
      <c r="I115" s="30"/>
      <c r="J115" s="33"/>
    </row>
    <row r="116">
      <c r="A116" s="28" t="s">
        <v>310</v>
      </c>
      <c r="B116" s="30" t="s">
        <v>309</v>
      </c>
      <c r="C116" s="28" t="s">
        <v>999</v>
      </c>
      <c r="D116" s="30"/>
      <c r="E116" s="32"/>
      <c r="F116" s="30"/>
      <c r="G116" s="30"/>
      <c r="H116" s="33"/>
      <c r="I116" s="30"/>
      <c r="J116" s="33"/>
    </row>
    <row r="117">
      <c r="A117" s="28" t="s">
        <v>316</v>
      </c>
      <c r="B117" s="30" t="s">
        <v>315</v>
      </c>
      <c r="C117" s="28" t="s">
        <v>1000</v>
      </c>
      <c r="D117" s="30"/>
      <c r="E117" s="32"/>
      <c r="F117" s="30"/>
      <c r="G117" s="30"/>
      <c r="H117" s="33"/>
      <c r="I117" s="30"/>
      <c r="J117" s="33"/>
    </row>
    <row r="118">
      <c r="A118" s="28" t="s">
        <v>321</v>
      </c>
      <c r="B118" s="29" t="s">
        <v>320</v>
      </c>
      <c r="C118" s="28" t="s">
        <v>1001</v>
      </c>
      <c r="D118" s="30"/>
      <c r="E118" s="32"/>
      <c r="F118" s="30"/>
      <c r="G118" s="30"/>
      <c r="H118" s="33"/>
      <c r="I118" s="30"/>
      <c r="J118" s="33"/>
    </row>
    <row r="119">
      <c r="A119" s="28" t="s">
        <v>328</v>
      </c>
      <c r="B119" s="29" t="s">
        <v>327</v>
      </c>
      <c r="C119" s="28" t="s">
        <v>1002</v>
      </c>
      <c r="D119" s="30"/>
      <c r="E119" s="32"/>
      <c r="F119" s="30"/>
      <c r="G119" s="30"/>
      <c r="H119" s="33"/>
      <c r="I119" s="30"/>
      <c r="J119" s="33"/>
    </row>
    <row r="120">
      <c r="A120" s="28" t="s">
        <v>333</v>
      </c>
      <c r="B120" s="30" t="s">
        <v>332</v>
      </c>
      <c r="C120" s="28" t="s">
        <v>1003</v>
      </c>
      <c r="D120" s="30"/>
      <c r="E120" s="32"/>
      <c r="F120" s="30"/>
      <c r="G120" s="30"/>
      <c r="H120" s="33"/>
      <c r="I120" s="30"/>
      <c r="J120" s="33"/>
    </row>
    <row r="121">
      <c r="A121" s="28" t="s">
        <v>338</v>
      </c>
      <c r="B121" s="29" t="s">
        <v>337</v>
      </c>
      <c r="C121" s="28" t="s">
        <v>1004</v>
      </c>
      <c r="D121" s="30"/>
      <c r="E121" s="32"/>
      <c r="F121" s="30"/>
      <c r="G121" s="30"/>
      <c r="H121" s="33"/>
      <c r="I121" s="30"/>
      <c r="J121" s="33"/>
    </row>
    <row r="122">
      <c r="A122" s="28" t="s">
        <v>343</v>
      </c>
      <c r="B122" s="30" t="s">
        <v>342</v>
      </c>
      <c r="C122" s="28" t="s">
        <v>1005</v>
      </c>
      <c r="D122" s="30"/>
      <c r="E122" s="32"/>
      <c r="F122" s="30"/>
      <c r="G122" s="30"/>
      <c r="H122" s="33"/>
      <c r="I122" s="30"/>
      <c r="J122" s="33"/>
    </row>
    <row r="123">
      <c r="A123" s="28" t="s">
        <v>348</v>
      </c>
      <c r="B123" s="30" t="s">
        <v>347</v>
      </c>
      <c r="C123" s="28" t="s">
        <v>1006</v>
      </c>
      <c r="D123" s="30"/>
      <c r="E123" s="32"/>
      <c r="F123" s="30"/>
      <c r="G123" s="30"/>
      <c r="H123" s="33"/>
      <c r="I123" s="30"/>
      <c r="J123" s="33"/>
    </row>
    <row r="124">
      <c r="A124" s="28" t="s">
        <v>353</v>
      </c>
      <c r="B124" s="29" t="s">
        <v>352</v>
      </c>
      <c r="C124" s="28" t="s">
        <v>1007</v>
      </c>
      <c r="D124" s="30"/>
      <c r="E124" s="32"/>
      <c r="F124" s="30"/>
      <c r="G124" s="30"/>
      <c r="H124" s="33"/>
      <c r="I124" s="30"/>
      <c r="J124" s="33"/>
    </row>
    <row r="125">
      <c r="A125" s="28" t="s">
        <v>360</v>
      </c>
      <c r="B125" s="29" t="s">
        <v>359</v>
      </c>
      <c r="C125" s="28" t="s">
        <v>1008</v>
      </c>
      <c r="D125" s="30"/>
      <c r="E125" s="32"/>
      <c r="F125" s="30"/>
      <c r="G125" s="30"/>
      <c r="H125" s="33"/>
      <c r="I125" s="30"/>
      <c r="J125" s="33"/>
    </row>
    <row r="126">
      <c r="A126" s="28" t="s">
        <v>364</v>
      </c>
      <c r="B126" s="29" t="s">
        <v>363</v>
      </c>
      <c r="C126" s="28" t="s">
        <v>1009</v>
      </c>
      <c r="D126" s="30"/>
      <c r="E126" s="32"/>
      <c r="F126" s="30"/>
      <c r="G126" s="30"/>
      <c r="H126" s="33"/>
      <c r="I126" s="30"/>
      <c r="J126" s="33"/>
    </row>
    <row r="127">
      <c r="A127" s="28" t="s">
        <v>373</v>
      </c>
      <c r="B127" s="29" t="s">
        <v>372</v>
      </c>
      <c r="C127" s="28" t="s">
        <v>1010</v>
      </c>
      <c r="D127" s="30"/>
      <c r="E127" s="32"/>
      <c r="F127" s="30"/>
      <c r="G127" s="30"/>
      <c r="H127" s="33"/>
      <c r="I127" s="30"/>
      <c r="J127" s="33"/>
    </row>
    <row r="128">
      <c r="A128" s="28" t="s">
        <v>381</v>
      </c>
      <c r="B128" s="29" t="s">
        <v>380</v>
      </c>
      <c r="C128" s="28" t="s">
        <v>1011</v>
      </c>
      <c r="D128" s="30"/>
      <c r="E128" s="32"/>
      <c r="F128" s="30"/>
      <c r="G128" s="30"/>
      <c r="H128" s="33"/>
      <c r="I128" s="30"/>
      <c r="J128" s="33"/>
    </row>
    <row r="129">
      <c r="A129" s="28" t="s">
        <v>386</v>
      </c>
      <c r="B129" s="29" t="s">
        <v>385</v>
      </c>
      <c r="C129" s="28" t="s">
        <v>1012</v>
      </c>
      <c r="D129" s="30"/>
      <c r="E129" s="32"/>
      <c r="F129" s="30"/>
      <c r="G129" s="30"/>
      <c r="H129" s="33"/>
      <c r="I129" s="30"/>
      <c r="J129" s="33"/>
    </row>
    <row r="130">
      <c r="A130" s="28" t="s">
        <v>391</v>
      </c>
      <c r="B130" s="29" t="s">
        <v>390</v>
      </c>
      <c r="C130" s="28" t="s">
        <v>1013</v>
      </c>
      <c r="D130" s="30"/>
      <c r="E130" s="32"/>
      <c r="F130" s="30"/>
      <c r="G130" s="30"/>
      <c r="H130" s="33"/>
      <c r="I130" s="30"/>
      <c r="J130" s="33"/>
    </row>
    <row r="131">
      <c r="A131" s="28" t="s">
        <v>396</v>
      </c>
      <c r="B131" s="29" t="s">
        <v>395</v>
      </c>
      <c r="C131" s="28" t="s">
        <v>1014</v>
      </c>
      <c r="D131" s="30"/>
      <c r="E131" s="32"/>
      <c r="F131" s="30"/>
      <c r="G131" s="30"/>
      <c r="H131" s="33"/>
      <c r="I131" s="30"/>
      <c r="J131" s="33"/>
    </row>
    <row r="132">
      <c r="A132" s="28" t="s">
        <v>403</v>
      </c>
      <c r="B132" s="29" t="s">
        <v>402</v>
      </c>
      <c r="C132" s="28" t="s">
        <v>1015</v>
      </c>
      <c r="D132" s="30"/>
      <c r="E132" s="32"/>
      <c r="F132" s="30"/>
      <c r="G132" s="30"/>
      <c r="H132" s="33"/>
      <c r="I132" s="30"/>
      <c r="J132" s="33"/>
    </row>
    <row r="133">
      <c r="A133" s="28" t="s">
        <v>408</v>
      </c>
      <c r="B133" s="29" t="s">
        <v>407</v>
      </c>
      <c r="C133" s="28" t="s">
        <v>1016</v>
      </c>
      <c r="D133" s="30"/>
      <c r="E133" s="32"/>
      <c r="F133" s="30"/>
      <c r="G133" s="30"/>
      <c r="H133" s="33"/>
      <c r="I133" s="30"/>
      <c r="J133" s="33"/>
    </row>
    <row r="134">
      <c r="A134" s="28" t="s">
        <v>413</v>
      </c>
      <c r="B134" s="29" t="s">
        <v>412</v>
      </c>
      <c r="C134" s="28" t="s">
        <v>1017</v>
      </c>
      <c r="D134" s="30"/>
      <c r="E134" s="32"/>
      <c r="F134" s="30"/>
      <c r="G134" s="30"/>
      <c r="H134" s="33"/>
      <c r="I134" s="30"/>
      <c r="J134" s="33"/>
    </row>
    <row r="135">
      <c r="A135" s="28" t="s">
        <v>418</v>
      </c>
      <c r="B135" s="29" t="s">
        <v>417</v>
      </c>
      <c r="C135" s="28" t="s">
        <v>1018</v>
      </c>
      <c r="D135" s="30"/>
      <c r="E135" s="32"/>
      <c r="F135" s="30"/>
      <c r="G135" s="30"/>
      <c r="H135" s="33"/>
      <c r="I135" s="30"/>
      <c r="J135" s="33"/>
    </row>
    <row r="136">
      <c r="A136" s="28" t="s">
        <v>423</v>
      </c>
      <c r="B136" s="29" t="s">
        <v>422</v>
      </c>
      <c r="C136" s="28" t="s">
        <v>1019</v>
      </c>
      <c r="D136" s="30"/>
      <c r="E136" s="32"/>
      <c r="F136" s="30"/>
      <c r="G136" s="30"/>
      <c r="H136" s="33"/>
      <c r="I136" s="30"/>
      <c r="J136" s="33"/>
    </row>
    <row r="137">
      <c r="A137" s="28" t="s">
        <v>427</v>
      </c>
      <c r="B137" s="29" t="s">
        <v>426</v>
      </c>
      <c r="C137" s="28" t="s">
        <v>1020</v>
      </c>
      <c r="D137" s="30"/>
      <c r="E137" s="32"/>
      <c r="F137" s="30"/>
      <c r="G137" s="30"/>
      <c r="H137" s="33"/>
      <c r="I137" s="30"/>
      <c r="J137" s="33"/>
    </row>
    <row r="138">
      <c r="A138" s="28" t="s">
        <v>1021</v>
      </c>
      <c r="C138" s="28" t="s">
        <v>1022</v>
      </c>
    </row>
    <row r="139">
      <c r="A139" s="28" t="s">
        <v>1023</v>
      </c>
      <c r="C139" s="28" t="s">
        <v>1024</v>
      </c>
    </row>
    <row r="140">
      <c r="A140" s="28" t="s">
        <v>1025</v>
      </c>
      <c r="C140" s="28" t="s">
        <v>1026</v>
      </c>
    </row>
    <row r="141">
      <c r="A141" s="28" t="s">
        <v>1027</v>
      </c>
      <c r="C141" s="28" t="s">
        <v>1028</v>
      </c>
    </row>
    <row r="142">
      <c r="A142" s="28" t="s">
        <v>1029</v>
      </c>
      <c r="C142" s="28" t="s">
        <v>1030</v>
      </c>
    </row>
    <row r="143">
      <c r="A143" s="28" t="s">
        <v>1031</v>
      </c>
      <c r="C143" s="28" t="s">
        <v>1032</v>
      </c>
    </row>
    <row r="144">
      <c r="A144" s="28" t="s">
        <v>1033</v>
      </c>
      <c r="C144" s="28" t="s">
        <v>1034</v>
      </c>
    </row>
    <row r="145">
      <c r="A145" s="28" t="s">
        <v>1035</v>
      </c>
      <c r="C145" s="28" t="s">
        <v>1036</v>
      </c>
    </row>
    <row r="146">
      <c r="A146" s="28" t="s">
        <v>1037</v>
      </c>
      <c r="C146" s="28" t="s">
        <v>1038</v>
      </c>
    </row>
    <row r="147">
      <c r="A147" s="28" t="s">
        <v>1039</v>
      </c>
      <c r="C147" s="28" t="s">
        <v>1040</v>
      </c>
    </row>
    <row r="148">
      <c r="A148" s="28" t="s">
        <v>1041</v>
      </c>
      <c r="C148" s="28" t="s">
        <v>1042</v>
      </c>
    </row>
    <row r="149">
      <c r="A149" s="28" t="s">
        <v>1043</v>
      </c>
      <c r="C149" s="28" t="s">
        <v>1044</v>
      </c>
    </row>
    <row r="150">
      <c r="A150" s="28" t="s">
        <v>1045</v>
      </c>
      <c r="C150" s="28" t="s">
        <v>1046</v>
      </c>
    </row>
    <row r="151">
      <c r="A151" s="28" t="s">
        <v>1047</v>
      </c>
      <c r="C151" s="28" t="s">
        <v>1048</v>
      </c>
    </row>
    <row r="152">
      <c r="A152" s="28" t="s">
        <v>1049</v>
      </c>
      <c r="C152" s="28" t="s">
        <v>1050</v>
      </c>
    </row>
    <row r="153">
      <c r="A153" s="28" t="s">
        <v>1051</v>
      </c>
      <c r="C153" s="35" t="s">
        <v>1052</v>
      </c>
    </row>
    <row r="154">
      <c r="A154" s="28" t="s">
        <v>1053</v>
      </c>
      <c r="C154" s="35" t="s">
        <v>1054</v>
      </c>
    </row>
    <row r="155">
      <c r="A155" s="28" t="s">
        <v>1055</v>
      </c>
      <c r="C155" s="35" t="s">
        <v>1056</v>
      </c>
    </row>
    <row r="156">
      <c r="A156" s="28" t="s">
        <v>1057</v>
      </c>
      <c r="C156" s="35" t="s">
        <v>1058</v>
      </c>
    </row>
    <row r="157">
      <c r="A157" s="28" t="s">
        <v>1059</v>
      </c>
      <c r="C157" s="35" t="s">
        <v>1060</v>
      </c>
    </row>
    <row r="158">
      <c r="A158" s="28" t="s">
        <v>1061</v>
      </c>
      <c r="C158" s="35" t="s">
        <v>1062</v>
      </c>
    </row>
    <row r="159">
      <c r="A159" s="28" t="s">
        <v>1063</v>
      </c>
      <c r="C159" s="35" t="s">
        <v>1064</v>
      </c>
    </row>
    <row r="160">
      <c r="A160" s="28" t="s">
        <v>1065</v>
      </c>
      <c r="C160" s="35" t="s">
        <v>1066</v>
      </c>
    </row>
    <row r="161">
      <c r="A161" s="28" t="s">
        <v>1067</v>
      </c>
      <c r="C161" s="35" t="s">
        <v>1068</v>
      </c>
    </row>
    <row r="162">
      <c r="A162" s="28" t="s">
        <v>1069</v>
      </c>
      <c r="C162" s="35" t="s">
        <v>1070</v>
      </c>
    </row>
    <row r="163">
      <c r="A163" s="28" t="s">
        <v>1071</v>
      </c>
      <c r="C163" s="35" t="s">
        <v>1072</v>
      </c>
    </row>
    <row r="164">
      <c r="A164" s="28" t="s">
        <v>1073</v>
      </c>
      <c r="C164" s="28" t="s">
        <v>1074</v>
      </c>
    </row>
    <row r="165">
      <c r="A165" s="28" t="s">
        <v>1075</v>
      </c>
      <c r="C165" s="28" t="s">
        <v>1076</v>
      </c>
    </row>
    <row r="166">
      <c r="A166" s="28" t="s">
        <v>1077</v>
      </c>
      <c r="C166" s="28" t="s">
        <v>1078</v>
      </c>
    </row>
    <row r="167">
      <c r="A167" s="28" t="s">
        <v>1079</v>
      </c>
      <c r="C167" s="28" t="s">
        <v>1080</v>
      </c>
    </row>
    <row r="168">
      <c r="A168" s="28" t="s">
        <v>1081</v>
      </c>
      <c r="C168" s="28" t="s">
        <v>1082</v>
      </c>
    </row>
    <row r="169">
      <c r="A169" s="28" t="s">
        <v>1083</v>
      </c>
      <c r="C169" s="28" t="s">
        <v>1084</v>
      </c>
    </row>
    <row r="170">
      <c r="A170" s="28" t="s">
        <v>1085</v>
      </c>
      <c r="C170" s="28" t="s">
        <v>1086</v>
      </c>
    </row>
    <row r="171">
      <c r="A171" s="28" t="s">
        <v>1087</v>
      </c>
      <c r="C171" s="28" t="s">
        <v>1088</v>
      </c>
    </row>
    <row r="172">
      <c r="A172" s="28" t="s">
        <v>1089</v>
      </c>
      <c r="C172" s="28" t="s">
        <v>1090</v>
      </c>
    </row>
    <row r="173">
      <c r="A173" s="28" t="s">
        <v>1091</v>
      </c>
      <c r="C173" s="28" t="s">
        <v>1092</v>
      </c>
    </row>
    <row r="174">
      <c r="A174" s="28" t="s">
        <v>1093</v>
      </c>
      <c r="C174" s="28" t="s">
        <v>1094</v>
      </c>
    </row>
    <row r="175">
      <c r="A175" s="28" t="s">
        <v>1095</v>
      </c>
      <c r="C175" s="28" t="s">
        <v>1096</v>
      </c>
    </row>
    <row r="176">
      <c r="A176" s="28" t="s">
        <v>1097</v>
      </c>
      <c r="C176" s="28" t="s">
        <v>1098</v>
      </c>
    </row>
    <row r="177">
      <c r="A177" s="28" t="s">
        <v>1099</v>
      </c>
      <c r="C177" s="28" t="s">
        <v>1100</v>
      </c>
    </row>
    <row r="178">
      <c r="A178" s="28" t="s">
        <v>1101</v>
      </c>
      <c r="C178" s="28" t="s">
        <v>1102</v>
      </c>
    </row>
    <row r="179">
      <c r="A179" s="28" t="s">
        <v>1103</v>
      </c>
      <c r="C179" s="28" t="s">
        <v>1104</v>
      </c>
    </row>
    <row r="180">
      <c r="A180" s="28" t="s">
        <v>1105</v>
      </c>
      <c r="C180" s="28" t="s">
        <v>1106</v>
      </c>
    </row>
    <row r="181">
      <c r="A181" s="28" t="s">
        <v>1107</v>
      </c>
      <c r="C181" s="28" t="s">
        <v>1108</v>
      </c>
    </row>
    <row r="182">
      <c r="A182" s="28" t="s">
        <v>1109</v>
      </c>
      <c r="C182" s="28" t="s">
        <v>1110</v>
      </c>
    </row>
    <row r="183">
      <c r="A183" s="28" t="s">
        <v>1111</v>
      </c>
      <c r="C183" s="28" t="s">
        <v>1112</v>
      </c>
    </row>
    <row r="184">
      <c r="A184" s="28" t="s">
        <v>1113</v>
      </c>
      <c r="C184" s="28" t="s">
        <v>1114</v>
      </c>
    </row>
    <row r="185">
      <c r="A185" s="28" t="s">
        <v>1115</v>
      </c>
      <c r="C185" s="28" t="s">
        <v>1116</v>
      </c>
    </row>
    <row r="186">
      <c r="A186" s="28" t="s">
        <v>1117</v>
      </c>
      <c r="C186" s="28" t="s">
        <v>1118</v>
      </c>
    </row>
    <row r="187">
      <c r="A187" s="28" t="s">
        <v>1119</v>
      </c>
      <c r="C187" s="28" t="s">
        <v>1120</v>
      </c>
    </row>
    <row r="188">
      <c r="A188" s="28" t="s">
        <v>1121</v>
      </c>
      <c r="C188" s="28" t="s">
        <v>1122</v>
      </c>
    </row>
    <row r="189">
      <c r="A189" s="28" t="s">
        <v>1123</v>
      </c>
      <c r="C189" s="28" t="s">
        <v>1124</v>
      </c>
    </row>
    <row r="190">
      <c r="A190" s="28" t="s">
        <v>1125</v>
      </c>
      <c r="C190" s="28" t="s">
        <v>1126</v>
      </c>
    </row>
    <row r="191">
      <c r="A191" s="28" t="s">
        <v>1127</v>
      </c>
      <c r="C191" s="28" t="s">
        <v>1128</v>
      </c>
    </row>
    <row r="192">
      <c r="A192" s="28" t="s">
        <v>1129</v>
      </c>
      <c r="C192" s="28" t="s">
        <v>1130</v>
      </c>
    </row>
    <row r="193">
      <c r="A193" s="28" t="s">
        <v>1131</v>
      </c>
      <c r="C193" s="28" t="s">
        <v>1132</v>
      </c>
    </row>
    <row r="194">
      <c r="A194" s="28" t="s">
        <v>1133</v>
      </c>
      <c r="C194" s="35" t="s">
        <v>1134</v>
      </c>
    </row>
    <row r="195">
      <c r="A195" s="28" t="s">
        <v>1135</v>
      </c>
      <c r="C195" s="28" t="s">
        <v>1136</v>
      </c>
    </row>
    <row r="196">
      <c r="A196" s="28" t="s">
        <v>1137</v>
      </c>
      <c r="C196" s="28" t="s">
        <v>1138</v>
      </c>
    </row>
    <row r="197">
      <c r="A197" s="28" t="s">
        <v>1139</v>
      </c>
      <c r="C197" s="28" t="s">
        <v>1140</v>
      </c>
    </row>
    <row r="198">
      <c r="A198" s="28" t="s">
        <v>1141</v>
      </c>
      <c r="C198" s="28" t="s">
        <v>1142</v>
      </c>
    </row>
    <row r="199">
      <c r="A199" s="28" t="s">
        <v>1143</v>
      </c>
      <c r="C199" s="28" t="s">
        <v>1144</v>
      </c>
    </row>
    <row r="200">
      <c r="A200" s="28" t="s">
        <v>1145</v>
      </c>
      <c r="C200" s="28" t="s">
        <v>665</v>
      </c>
    </row>
    <row r="201">
      <c r="A201" s="28" t="s">
        <v>1146</v>
      </c>
      <c r="C201" s="28" t="s">
        <v>1146</v>
      </c>
    </row>
    <row r="202">
      <c r="A202" s="28" t="s">
        <v>1147</v>
      </c>
      <c r="C202" s="28" t="s">
        <v>1148</v>
      </c>
    </row>
  </sheetData>
  <conditionalFormatting sqref="B24:B73 F24:J27 F40:F45 G40 H40:J45 B77:B88 B94:B114 B125:B126 B132:B137">
    <cfRule type="cellIs" dxfId="1" priority="1" operator="equal">
      <formula>"NA"</formula>
    </cfRule>
  </conditionalFormatting>
  <conditionalFormatting sqref="B20:B23 F20:J23">
    <cfRule type="cellIs" dxfId="1" priority="2" operator="equal">
      <formula>"NA"</formula>
    </cfRule>
  </conditionalFormatting>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2025-11-13T15:54:15Z</dcterms:created>
  <dc:creator>Jannis Kreienkamp</dc:creator>
</cp:coreProperties>
</file>